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1"/>
  </bookViews>
  <sheets>
    <sheet name="1-登录注册" sheetId="1" r:id="rId1"/>
    <sheet name="2-用户管理" sheetId="2" r:id="rId2"/>
    <sheet name="3-租户管理" sheetId="3" r:id="rId3"/>
    <sheet name="4-配置管理" sheetId="4" r:id="rId4"/>
    <sheet name="5-模板管理" sheetId="5" r:id="rId5"/>
    <sheet name="6-合同管理" sheetId="6" r:id="rId6"/>
    <sheet name="7-货物管理" sheetId="7" r:id="rId7"/>
    <sheet name="8-订单管理" sheetId="8" r:id="rId8"/>
    <sheet name="9-进口台账" sheetId="9" r:id="rId9"/>
    <sheet name="10-报关单管理" sheetId="10" r:id="rId10"/>
    <sheet name="11-文件管理" sheetId="11" r:id="rId11"/>
    <sheet name="12-供应商客户" sheetId="12" r:id="rId12"/>
    <sheet name="13-权限测试" sheetId="13" r:id="rId13"/>
    <sheet name="14-业务流程" sheetId="14" r:id="rId14"/>
    <sheet name="15-其他测试" sheetId="15" r:id="rId15"/>
  </sheets>
  <definedNames>
    <definedName name="_xlnm._FilterDatabase" localSheetId="0" hidden="1">'1-登录注册'!$A$1:$I$10</definedName>
    <definedName name="_xlnm._FilterDatabase" localSheetId="1" hidden="1">'2-用户管理'!$A$1:$I$11</definedName>
    <definedName name="_xlnm._FilterDatabase" localSheetId="2" hidden="1">'3-租户管理'!$A$1:$I$5</definedName>
    <definedName name="_xlnm._FilterDatabase" localSheetId="3" hidden="1">'4-配置管理'!$A$1:$I$3</definedName>
    <definedName name="_xlnm._FilterDatabase" localSheetId="4" hidden="1">'5-模板管理'!$A$1:$I$7</definedName>
    <definedName name="_xlnm._FilterDatabase" localSheetId="5" hidden="1">'6-合同管理'!$A$1:$I$6</definedName>
    <definedName name="_xlnm._FilterDatabase" localSheetId="6" hidden="1">'7-货物管理'!$A$1:$I$5</definedName>
    <definedName name="_xlnm._FilterDatabase" localSheetId="7" hidden="1">'8-订单管理'!$A$1:$I$4</definedName>
    <definedName name="_xlnm._FilterDatabase" localSheetId="8" hidden="1">'9-进口台账'!$A$1:$I$13</definedName>
    <definedName name="_xlnm._FilterDatabase" localSheetId="9" hidden="1">'10-报关单管理'!$A$1:$I$5</definedName>
    <definedName name="_xlnm._FilterDatabase" localSheetId="10" hidden="1">'11-文件管理'!$A$1:$I$4</definedName>
    <definedName name="_xlnm._FilterDatabase" localSheetId="11" hidden="1">'12-供应商客户'!$A$1:$I$5</definedName>
    <definedName name="_xlnm._FilterDatabase" localSheetId="12" hidden="1">'13-权限测试'!$A$1:$I$10</definedName>
    <definedName name="_xlnm._FilterDatabase" localSheetId="13" hidden="1">'14-业务流程'!$A$1:$I$5</definedName>
    <definedName name="_xlnm._FilterDatabase" localSheetId="14" hidden="1">'15-其他测试'!$A$1:$I$5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77F2B4239F8489DA3146633F7F155F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95100" y="1339850"/>
          <a:ext cx="5918200" cy="8420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6388FC1FD566442B969A3300B737753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595100" y="2076450"/>
          <a:ext cx="4337050" cy="8064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92975BA5D32B4549926E99E2BDAB0AF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595100" y="2813050"/>
          <a:ext cx="3848100" cy="398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7B3A564CAB984D77991F62E844811A9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595100" y="3575050"/>
          <a:ext cx="4718050" cy="8286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FA7BDA98D1B84902AC70CBC1ECD281E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595100" y="5048250"/>
          <a:ext cx="5435600" cy="9448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C43307AB9E984FB88D811C14DD245B3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595100" y="5600700"/>
          <a:ext cx="4343400" cy="8108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D324851F2AE94FF390B7DDE254077D6A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595100" y="1155700"/>
          <a:ext cx="8096250" cy="5835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B30AEBCBB2544039A9AF90EFA40D5D3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595100" y="419100"/>
          <a:ext cx="7258050" cy="5162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7F50EDFAB2FF403BA48983E40503589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1595100" y="2286000"/>
          <a:ext cx="21755100" cy="5740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694E4EA4D749442EA37B034705F203DC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1595100" y="2838450"/>
          <a:ext cx="6369050" cy="3441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E300666A036F48409887BC814EAC89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1595100" y="3600450"/>
          <a:ext cx="12922250" cy="3416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3DD0662645A548AB8F70E1065A1961FF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1595100" y="4152900"/>
          <a:ext cx="13315950" cy="573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3645AA719E5245788FFB10BE529A489D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1595100" y="4705350"/>
          <a:ext cx="9467850" cy="32766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<sst xmlns="http://schemas.openxmlformats.org/spreadsheetml/2006/main" count="753" uniqueCount="344">
  <si>
    <t>用例编号</t>
  </si>
  <si>
    <t>所属模块</t>
  </si>
  <si>
    <t>需求章节</t>
  </si>
  <si>
    <t>优先级</t>
  </si>
  <si>
    <t>前置条件</t>
  </si>
  <si>
    <t>测试步骤</t>
  </si>
  <si>
    <t>预期结果</t>
  </si>
  <si>
    <t>实际结果</t>
  </si>
  <si>
    <t>测试结果</t>
  </si>
  <si>
    <t>登录功能</t>
  </si>
  <si>
    <t>TC-01</t>
  </si>
  <si>
    <t>登录</t>
  </si>
  <si>
    <t>3.1.1</t>
  </si>
  <si>
    <t>P0</t>
  </si>
  <si>
    <t>系统已部署
默认账号admin/admin123</t>
  </si>
  <si>
    <t>1. 打开系统首页
2. 企业号输入: GUOHE
3. 用户名输入: admin
4. 密码输入: admin123
5. 点击【登录】</t>
  </si>
  <si>
    <t>1. 登录成功,跳转到首页
2. 右上角显示"系统管理员"
3. 左侧菜单显示全部功能</t>
  </si>
  <si>
    <t>通过</t>
  </si>
  <si>
    <t/>
  </si>
  <si>
    <t>TC-02</t>
  </si>
  <si>
    <t>在登录页</t>
  </si>
  <si>
    <t>1. 企业号: GUOHE
2. 用户名: admin
3. 密码: 错误密码
4. 点击【登录】</t>
  </si>
  <si>
    <t>1. 登录失败
2. 提示"用户名或密码错误"</t>
  </si>
  <si>
    <t>TC-03</t>
  </si>
  <si>
    <t>1. 企业号: NOTEXIST
2. 用户名: admin
3. 密码: admin123
4. 点击【登录】</t>
  </si>
  <si>
    <t>1. 登录失败
2. 提示"租户不存在"</t>
  </si>
  <si>
    <t>TC-04</t>
  </si>
  <si>
    <t>P1</t>
  </si>
  <si>
    <t>1. 所有输入框不填
2. 点击【登录】</t>
  </si>
  <si>
    <t>1. 表单验证不通过
2. 各输入框出现红色提示</t>
  </si>
  <si>
    <t>注册功能</t>
  </si>
  <si>
    <t>TC-05</t>
  </si>
  <si>
    <t>注册</t>
  </si>
  <si>
    <t>点击"注册新账号"进入注册页</t>
  </si>
  <si>
    <t>1. 角色: 企业员工
2. 企业号: GUOHE
3. 用户名: testuser001
4. 姓名: 测试用户
5. 密码: Test@123456
6. 确认密码: Test@123456
7. 手机号: 13800138001
8. 点击【注册】</t>
  </si>
  <si>
    <t>1. 注册成功
2. 提示"等待审批"
3. 此时登录应失败</t>
  </si>
  <si>
    <t>TC-06</t>
  </si>
  <si>
    <t>在注册页</t>
  </si>
  <si>
    <t>1. 用户名: admin（已存在）
2. 其他正常填写
3. 点击【注册】</t>
  </si>
  <si>
    <t>1. 注册失败
2. 提示"用户名已存在"</t>
  </si>
  <si>
    <t>TC-07</t>
  </si>
  <si>
    <t>TC-05注册成功但未审批</t>
  </si>
  <si>
    <t>1. 用testuser001登录</t>
  </si>
  <si>
    <t>1. 登录失败
2. 提示"账号未审批"</t>
  </si>
  <si>
    <t>失败</t>
  </si>
  <si>
    <t>验证未审批不能登录</t>
  </si>
  <si>
    <t>个人信息(3.1.2)</t>
  </si>
  <si>
    <t>TC-08</t>
  </si>
  <si>
    <t>个人信息</t>
  </si>
  <si>
    <t>3.1.2</t>
  </si>
  <si>
    <t>以admin登录</t>
  </si>
  <si>
    <t>1. 右上角→个人中心
2. 查看基本信息
3. 修改手机号为13900001111
4. 点击【保存】</t>
  </si>
  <si>
    <t>1. 用户名/角色不可编辑
2. 手机号/邮箱可编辑
3. 保存成功</t>
  </si>
  <si>
    <t>TC-09</t>
  </si>
  <si>
    <t>个人中心→安全设置</t>
  </si>
  <si>
    <t>1. 原密码: admin123
2. 新密码: NewPass@999
3. 确认: NewPass@999
4. 点击【修改密码】</t>
  </si>
  <si>
    <t>1. 修改成功
2. 新密码可登录
3. 旧密码不能登录</t>
  </si>
  <si>
    <t>测试后改回,密码修改成功后需要退出登录</t>
  </si>
  <si>
    <t>用户列表(3.1.3)</t>
  </si>
  <si>
    <t>TC-10</t>
  </si>
  <si>
    <t>用户列表</t>
  </si>
  <si>
    <t>3.1.3</t>
  </si>
  <si>
    <t>admin登录→用户列表</t>
  </si>
  <si>
    <t>1. 查看表格列
2. 按企业筛选
3. 按状态筛选</t>
  </si>
  <si>
    <t>1. 显示用户名/姓名/企业/角色/状态
2. 筛选结果正确
3. 分页正常</t>
  </si>
  <si>
    <t>阻塞</t>
  </si>
  <si>
    <t>TC-11</t>
  </si>
  <si>
    <t>有非admin用户</t>
  </si>
  <si>
    <t>1. 点击状态开关禁用
2. 该用户尝试登录
3. 重新启用</t>
  </si>
  <si>
    <t>1. 禁用后不能登录
2. 启用后可登录</t>
  </si>
  <si>
    <t>未测试登录</t>
  </si>
  <si>
    <t>用户审批(3.1.4)</t>
  </si>
  <si>
    <t>TC-12</t>
  </si>
  <si>
    <t>用户审批</t>
  </si>
  <si>
    <t>3.1.4</t>
  </si>
  <si>
    <t>TC-05已注册待审批</t>
  </si>
  <si>
    <t>1. 用户管理→用户审批
2. 找到testuser001
3. 点击【通过】</t>
  </si>
  <si>
    <t>1. 状态变"已通过"
2. testuser001可以登录</t>
  </si>
  <si>
    <t>核心流程,未测试登录</t>
  </si>
  <si>
    <t>TC-13</t>
  </si>
  <si>
    <t>有待审批申请</t>
  </si>
  <si>
    <t>1. 点击【拒绝】
2. 填写原因"资料不完整"
3. 确认</t>
  </si>
  <si>
    <t>1. 状态变"已拒绝"
2. 该用户不能登录</t>
  </si>
  <si>
    <t>TC-14</t>
  </si>
  <si>
    <t>多个待审批</t>
  </si>
  <si>
    <t>1. 勾选多个
2. 点击【批量通过】</t>
  </si>
  <si>
    <t>1. 全部变"已通过"</t>
  </si>
  <si>
    <t>租户管理(3.2)</t>
  </si>
  <si>
    <t>TC-15</t>
  </si>
  <si>
    <t>租户管理</t>
  </si>
  <si>
    <t>3.2</t>
  </si>
  <si>
    <t>admin登录</t>
  </si>
  <si>
    <t>1. 租户管理→添加租户
2. 企业号: TESTCORP
3. 名称: 测试贸易公司
4. 联系人/电话/地址
5. 确定</t>
  </si>
  <si>
    <t>1. 添加成功
2. 列表显示新租户
3. 状态"启用"</t>
  </si>
  <si>
    <t>TC-16</t>
  </si>
  <si>
    <t>有测试租户</t>
  </si>
  <si>
    <t>1. 点击状态开关禁用
2. 用该租户的用户登录</t>
  </si>
  <si>
    <t>1. 状态变"禁用"
2. 该租户所有用户不能登录</t>
  </si>
  <si>
    <t>需求明确要求</t>
  </si>
  <si>
    <t>TC-17</t>
  </si>
  <si>
    <t>租户列表</t>
  </si>
  <si>
    <t>1. 编辑租户信息
2. 按名称搜索
3. 删除租户</t>
  </si>
  <si>
    <t>1. 编辑保存成功
2. 搜索结果正确
3. 删除后从列表消失</t>
  </si>
  <si>
    <t>配置管理(3.3)</t>
  </si>
  <si>
    <t>TC-18</t>
  </si>
  <si>
    <t>配置管理</t>
  </si>
  <si>
    <t>3.3</t>
  </si>
  <si>
    <t>admin登录→配置管理</t>
  </si>
  <si>
    <t>1. 添加配置项: 编码COUNTRY,名称"国别"
2. 添加配置值: CN/中国, US/美国
3. 禁用"美国"
4. 检查下拉框</t>
  </si>
  <si>
    <t>1. 配置项创建成功
2. 配置值创建成功
3. 禁用后下拉不显示"美国"
4. 只显示"中国"</t>
  </si>
  <si>
    <t>模板管理(3.4)</t>
  </si>
  <si>
    <t>TC-19</t>
  </si>
  <si>
    <t>模板管理</t>
  </si>
  <si>
    <t>3.4</t>
  </si>
  <si>
    <t>admin登录→模板管理</t>
  </si>
  <si>
    <t>1. 左侧选"合同模板"
2. 点击【上传文件模板】
3. 名称: 标准合同模板
4. 上传.docx文件
5. 确定</t>
  </si>
  <si>
    <t>1. 上传成功
2. 列表显示新模板
3. 文件列显示文件名和大小</t>
  </si>
  <si>
    <t>TC-20</t>
  </si>
  <si>
    <t>已有模板</t>
  </si>
  <si>
    <t>1. 点击【预览】
2. 查看PDF预览</t>
  </si>
  <si>
    <t>1. 预览页显示模板内容
2. 和原Word文件格式一致</t>
  </si>
  <si>
    <t>TC-21</t>
  </si>
  <si>
    <t>预览页</t>
  </si>
  <si>
    <t>1. 点击【下载文件】</t>
  </si>
  <si>
    <t>1. 浏览器下载原始docx
2. 文件可正常打开</t>
  </si>
  <si>
    <t>TC-22</t>
  </si>
  <si>
    <t>有模板</t>
  </si>
  <si>
    <t>1. 点击【替换】→上传新文件
2. 点击【删除】→确认</t>
  </si>
  <si>
    <t>1. 替换成功,预览更新
2. 删除成功,从列表消失</t>
  </si>
  <si>
    <t>TC-23</t>
  </si>
  <si>
    <t>模板管理页</t>
  </si>
  <si>
    <t>1. 切换: 合同/订单/发票/箱单/报关单</t>
  </si>
  <si>
    <t>1. 每次切换列表更新
2. 5种类型独立</t>
  </si>
  <si>
    <t>合同管理(3.5)</t>
  </si>
  <si>
    <t>TC-24</t>
  </si>
  <si>
    <t>合同管理</t>
  </si>
  <si>
    <t>3.5.1</t>
  </si>
  <si>
    <t>admin登录,有供应商/客户</t>
  </si>
  <si>
    <t>1. 合同列表→创建合同
2. 编号: HT-2026-001
3. 标题: 国际贸易合同
4. 本方: 杨凌国合
5. 对方: 选择客户
6. 日期/金额/条款
7. 保存</t>
  </si>
  <si>
    <t>1. 创建成功
2. 状态"初始化"
3. 列表可见</t>
  </si>
  <si>
    <t>TC-25</t>
  </si>
  <si>
    <t>已有初始化合同</t>
  </si>
  <si>
    <t>1. 状态变更→签署中
2. 状态变更→已生效</t>
  </si>
  <si>
    <t>1. INIT→SIGNING→EFFECTIVE
2. 标签颜色变化</t>
  </si>
  <si>
    <t>状态机测试</t>
  </si>
  <si>
    <t>TC-26</t>
  </si>
  <si>
    <t>3.5.2</t>
  </si>
  <si>
    <t>合同列表有数据</t>
  </si>
  <si>
    <t>1. 状态标签切换
2. 按编号搜索
3. 按日期筛选</t>
  </si>
  <si>
    <t>1. 各筛选正确
2. 分页正常</t>
  </si>
  <si>
    <t>TC-27</t>
  </si>
  <si>
    <t>3.5.4</t>
  </si>
  <si>
    <t>有30天内到期合同</t>
  </si>
  <si>
    <t>1. 合同管理→临期预警
2. 查看统计卡片
3. 切换15/30/60/90天</t>
  </si>
  <si>
    <t>1. 显示临期总数/本周/本月
2. ≤15天红色,≤30天黄色
3. 切换实时更新</t>
  </si>
  <si>
    <t>货物管理(3.6)</t>
  </si>
  <si>
    <t>TC-28</t>
  </si>
  <si>
    <t>货物管理</t>
  </si>
  <si>
    <t>3.6.1</t>
  </si>
  <si>
    <t>admin登录→货物管理</t>
  </si>
  <si>
    <t>1. 添加货物
2. 编号: LAPTOP-001
3. 品名: 笔记本电脑
4. HS: 8471300000
5. 规格/型号/单位/单价
6. 保存</t>
  </si>
  <si>
    <t>1. 保存成功
2. 列表可见</t>
  </si>
  <si>
    <t>TC-29</t>
  </si>
  <si>
    <t>3.6.2</t>
  </si>
  <si>
    <t>有多条货物</t>
  </si>
  <si>
    <t>1. 按品名搜索
2. 按HS编码搜索
3. 按分类筛选</t>
  </si>
  <si>
    <t>1. 各搜索正确</t>
  </si>
  <si>
    <t>TC-30</t>
  </si>
  <si>
    <t>3.6.3</t>
  </si>
  <si>
    <t>有货物</t>
  </si>
  <si>
    <t>1. 编辑→改价格
2. 查看详情
3. 批量删除</t>
  </si>
  <si>
    <t>1. 编辑成功
2. 详情显示完整
3. 删除成功</t>
  </si>
  <si>
    <t>订单管理(3.7)</t>
  </si>
  <si>
    <t>TC-31</t>
  </si>
  <si>
    <t>订单管理</t>
  </si>
  <si>
    <t>3.7.1</t>
  </si>
  <si>
    <t>有已生效合同+货物</t>
  </si>
  <si>
    <t>1. 创建订单
2. 步骤1: 选择合同
3. 步骤2: 贸易条款FOB,付款T/T
4. 步骤3: 从货物库添加,设数量
5. 提交</t>
  </si>
  <si>
    <t>1. 三步流程顺畅
2. 金额自动计算
3. 订单创建成功</t>
  </si>
  <si>
    <t>核心三步</t>
  </si>
  <si>
    <t>TC-32</t>
  </si>
  <si>
    <t>3.7.2</t>
  </si>
  <si>
    <t>有订单</t>
  </si>
  <si>
    <t>1. 状态标签切换
2. 搜索
3. 查看详情</t>
  </si>
  <si>
    <t>1. 筛选正确
2. 详情含货物清单
3. 合计金额正确</t>
  </si>
  <si>
    <t>进口台账(新增)</t>
  </si>
  <si>
    <t>TC-33</t>
  </si>
  <si>
    <t>进口台账</t>
  </si>
  <si>
    <t>新增</t>
  </si>
  <si>
    <t>admin登录→进口台账</t>
  </si>
  <si>
    <t>1. 点击【新增台账】
2. 填写:
   主提单号: BL2026001
   供应商: 测试供应商
   监管方式: 一般贸易
   申报海关: 深圳海关
   启运国: 美国
   入境口岸: 深圳
   运输方式: 海运
3. 添加商品:
   LED灯泡 HS:8539500000 数量5000
   电池组件 HS:8507100000 数量1000
4. 点击【创建台账】</t>
  </si>
  <si>
    <t>1. 创建成功
2. 自动生成编号TZ+日期+序号
3. 总金额自动计算
4. 商品数=2
5. 状态"草稿"</t>
  </si>
  <si>
    <t>核心功能</t>
  </si>
  <si>
    <t>TC-34</t>
  </si>
  <si>
    <t>有台账数据</t>
  </si>
  <si>
    <t>1. 台账列表查看
2. 按编号搜索
3. 按供应商搜索
4. 按状态筛选</t>
  </si>
  <si>
    <t>1. 列表显示完整信息
2. 各搜索筛选正确
3. 分页正常</t>
  </si>
  <si>
    <t>TC-35</t>
  </si>
  <si>
    <t>有草稿台账</t>
  </si>
  <si>
    <t>1. 点击【详情】
2. 查看基本信息区
3. 查看商品明细表</t>
  </si>
  <si>
    <t>1. 显示全部字段
2. 商品明细完整
3. 已分配数量显示</t>
  </si>
  <si>
    <t>TC-36</t>
  </si>
  <si>
    <t>草稿状态台账</t>
  </si>
  <si>
    <t>1. 点击【编辑】
2. 修改供应商名称
3. 修改商品数量
4. 保存</t>
  </si>
  <si>
    <t>1. 编辑表单预填原数据
2. 保存成功
3. 金额重新计算</t>
  </si>
  <si>
    <t>仅草稿可编辑</t>
  </si>
  <si>
    <t>TC-37</t>
  </si>
  <si>
    <t>草稿台账</t>
  </si>
  <si>
    <t>1. 点击【删除】
2. 确认删除</t>
  </si>
  <si>
    <t>1. 删除成功
2. 从列表消失</t>
  </si>
  <si>
    <t>仅草稿可删除</t>
  </si>
  <si>
    <t>生成报关单</t>
  </si>
  <si>
    <t>TC-38</t>
  </si>
  <si>
    <t>台账详情页</t>
  </si>
  <si>
    <t>1. 点击【生成报关单】
2. 确认</t>
  </si>
  <si>
    <t>1. 报关单生成成功
2. 跳转到报关单详情
3. 数据从台账自动带入</t>
  </si>
  <si>
    <t>生成单据(箱单/发票/合同)</t>
  </si>
  <si>
    <t>TC-39</t>
  </si>
  <si>
    <t>生成箱单</t>
  </si>
  <si>
    <t>1. 点击【生成单据▼】
2. 选择"箱单 PackingList"</t>
  </si>
  <si>
    <t>1. 下载.xls文件
2. 格式与公司模板一致
3. 14列双栏布局
4. Consignee/Shipper/商品数据正确</t>
  </si>
  <si>
    <t>对标公司模板</t>
  </si>
  <si>
    <t>TC-40</t>
  </si>
  <si>
    <t>生成发票</t>
  </si>
  <si>
    <t>1. 点击【生成单据▼】
2. 选择"发票 Invoice"</t>
  </si>
  <si>
    <t>1. 下载.xls文件
2. 包含商品单价/金额/合计
3. 币种显示正确(如USD)</t>
  </si>
  <si>
    <t>TC-41</t>
  </si>
  <si>
    <t>生成合同</t>
  </si>
  <si>
    <t>1. 点击【生成单据▼】
2. 选择"合同 Contract"</t>
  </si>
  <si>
    <t>1. 下载.xls文件
2. 包含买卖双方/商品/金额
3. 有签章位置</t>
  </si>
  <si>
    <t>报关单管理(3.8)</t>
  </si>
  <si>
    <t>TC-42</t>
  </si>
  <si>
    <t>报关单</t>
  </si>
  <si>
    <t>3.8.1</t>
  </si>
  <si>
    <t>admin登录→报关单管理</t>
  </si>
  <si>
    <t>1. 点击【导入报关单】
2. 上传Excel文件
3. 确认导入</t>
  </si>
  <si>
    <t>1. 导入成功
2. 显示成功/失败统计
3. 数据出现在列表</t>
  </si>
  <si>
    <t>TC-43</t>
  </si>
  <si>
    <t>3.8.2</t>
  </si>
  <si>
    <t>有报关单数据</t>
  </si>
  <si>
    <t>1. 查看列表
2. 确认没有编辑/删除按钮</t>
  </si>
  <si>
    <t>1. 只有【查看】按钮
2. 数据只读</t>
  </si>
  <si>
    <t>需求:同步后只读</t>
  </si>
  <si>
    <t>TC-44</t>
  </si>
  <si>
    <t>有数据</t>
  </si>
  <si>
    <t>1. 按进出口类型筛选
2. 按报关单号搜索
3. 查看详情</t>
  </si>
  <si>
    <t>1. 筛选正确
2. 详情含商品明细</t>
  </si>
  <si>
    <t>文件管理(3.9)</t>
  </si>
  <si>
    <t>TC-45</t>
  </si>
  <si>
    <t>文件管理</t>
  </si>
  <si>
    <t>3.9.1</t>
  </si>
  <si>
    <t>admin登录→文件管理</t>
  </si>
  <si>
    <t>1. 点击【上传文件】
2. 业务类型选"企业资质"
3. 选择文件
4. 上传</t>
  </si>
  <si>
    <t>1. 上传成功
2. 文件出现在列表</t>
  </si>
  <si>
    <t>TC-46</t>
  </si>
  <si>
    <t>3.9.2</t>
  </si>
  <si>
    <t>有文件</t>
  </si>
  <si>
    <t>1. 按类型筛选
2. 点击【下载】
3. 重命名
4. 删除</t>
  </si>
  <si>
    <t>1. 筛选正确
2. 下载成功
3. 重命名成功
4. 删除成功</t>
  </si>
  <si>
    <t>供应商客户(3.11)</t>
  </si>
  <si>
    <t>TC-47</t>
  </si>
  <si>
    <t>供应商</t>
  </si>
  <si>
    <t>3.11.1</t>
  </si>
  <si>
    <t>admin登录→供应商与客户</t>
  </si>
  <si>
    <t>1. 左侧选"供应商"
2. 添加: 名称/信用代码/地址/联系人
3. 保存</t>
  </si>
  <si>
    <t>1. 添加成功
2. 状态"正常"</t>
  </si>
  <si>
    <t>TC-48</t>
  </si>
  <si>
    <t>客户</t>
  </si>
  <si>
    <t>3.11.2</t>
  </si>
  <si>
    <t>供应商客户页</t>
  </si>
  <si>
    <t>1. 切换到"客户"
2. 添加客户
3. 保存</t>
  </si>
  <si>
    <t>1. 客户添加成功</t>
  </si>
  <si>
    <t>TC-49</t>
  </si>
  <si>
    <t>供应商客户</t>
  </si>
  <si>
    <t>3.11</t>
  </si>
  <si>
    <t>有供应商</t>
  </si>
  <si>
    <t>1. 查看详情
2. 编辑
3. 禁用/启用
4. 创建合同时检查下拉</t>
  </si>
  <si>
    <t>1. 详情完整
2. 编辑成功
3. 禁用后不在合同下拉中</t>
  </si>
  <si>
    <t>ADMIN权限</t>
  </si>
  <si>
    <t>TC-50</t>
  </si>
  <si>
    <t>权限</t>
  </si>
  <si>
    <t>3.10</t>
  </si>
  <si>
    <t>ADMIN登录</t>
  </si>
  <si>
    <t>1. 检查左侧菜单</t>
  </si>
  <si>
    <t>1. 显示全部模块:
用户/租户/配置/模板/合同/货物/订单/台账/报关单/文件/供应商/退税</t>
  </si>
  <si>
    <t>ENTERPRISE权限</t>
  </si>
  <si>
    <t>TC-51</t>
  </si>
  <si>
    <t>企业员工登录</t>
  </si>
  <si>
    <t>1. 不显示:用户/租户/配置/模板
2. 只显示业务模块</t>
  </si>
  <si>
    <t>TC-52</t>
  </si>
  <si>
    <t>企业员工</t>
  </si>
  <si>
    <t>1. 地址栏输入/users
2. 地址栏输入/tenants</t>
  </si>
  <si>
    <t>1. 被拒绝或重定向
2. 不能看到管理数据</t>
  </si>
  <si>
    <t>TC-53</t>
  </si>
  <si>
    <t>1. 查看合同/货物/订单</t>
  </si>
  <si>
    <t>1. 只能看本企业数据
2. 租户隔离正确</t>
  </si>
  <si>
    <t>安全性</t>
  </si>
  <si>
    <t>TC-54</t>
  </si>
  <si>
    <t>安全</t>
  </si>
  <si>
    <t>4.2</t>
  </si>
  <si>
    <t>未登录</t>
  </si>
  <si>
    <t>1. 直接访问/contracts
2. 直接访问/dashboard</t>
  </si>
  <si>
    <t>1. 跳转到登录页
2. 看不到业务数据</t>
  </si>
  <si>
    <t>TC-55</t>
  </si>
  <si>
    <t>已登录</t>
  </si>
  <si>
    <t>1. 退出登录
2. 浏览器后退</t>
  </si>
  <si>
    <t>1. 跳转登录页
2. 后退不显示业务页</t>
  </si>
  <si>
    <t>端到端(2.1)</t>
  </si>
  <si>
    <t>TC-56</t>
  </si>
  <si>
    <t>端到端</t>
  </si>
  <si>
    <t>2.1</t>
  </si>
  <si>
    <t>全新环境,admin登录</t>
  </si>
  <si>
    <t>【流程1: 企业入驻】
1. 租户管理→添加"新华贸易",企业号XINHUA
2. 注册页→用XINHUA注册企业员工
3. 用户审批→通过
4. 新账号登录</t>
  </si>
  <si>
    <t>1. 租户创建成功
2. 注册成功,等待审批
3. 审批通过
4. 新用户可登录</t>
  </si>
  <si>
    <t>完整流程1</t>
  </si>
  <si>
    <t>TC-57</t>
  </si>
  <si>
    <t>TC-56完成</t>
  </si>
  <si>
    <t>【流程2: 合同+订单】
1. 添加客户"海外客户A"
2. 创建合同→INIT→SIGNING→EFFECTIVE
3. 添加货物LED灯泡
4. 基于合同创建订单,关联货物
5. 金额=5000×15.5=77500</t>
  </si>
  <si>
    <t>1. 合同状态流转正确
2. 订单三步创建顺畅
3. 金额自动计算正确</t>
  </si>
  <si>
    <t>完整流程2</t>
  </si>
  <si>
    <t>TC-58</t>
  </si>
  <si>
    <t>TC-57完成</t>
  </si>
  <si>
    <t>【流程3: 台账+单据】
1. 新增进口台账
2. 添加商品明细
3. 生成报关单
4. 生成箱单/发票/合同</t>
  </si>
  <si>
    <t>1. 台账创建成功
2. 报关单从台账数据生成
3. 三种单据下载格式正确</t>
  </si>
  <si>
    <t>完整流程3</t>
  </si>
  <si>
    <t>退税+性能+兼容</t>
  </si>
  <si>
    <t>TC-59</t>
  </si>
  <si>
    <t>退税</t>
  </si>
  <si>
    <t>3.12</t>
  </si>
  <si>
    <t>P2</t>
  </si>
  <si>
    <t>1. 点击退税管理
2. 查看页面</t>
  </si>
  <si>
    <t>1. 静态页面正常显示
2. 无交互功能</t>
  </si>
  <si>
    <t>TC-60</t>
  </si>
  <si>
    <t>性能</t>
  </si>
  <si>
    <t>4.1</t>
  </si>
  <si>
    <t>各页面</t>
  </si>
  <si>
    <t>1. 打开合同/订单/货物列表</t>
  </si>
  <si>
    <t>1. 加载时间≤3秒
2. 无卡顿</t>
  </si>
  <si>
    <t>TC-61</t>
  </si>
  <si>
    <t>兼容</t>
  </si>
  <si>
    <t>4.4</t>
  </si>
  <si>
    <t>不同浏览器</t>
  </si>
  <si>
    <t>1. Chrome
2. Firefox
3. Edge</t>
  </si>
  <si>
    <t>1. 三个浏览器正常
2. 布局一致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</si>
</sst>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b/>
      <sz val="10"/>
      <color rgb="FFFFFFFF"/>
      <name val="Microsoft YaHei"/>
      <charset val="134"/>
    </font>
    <font>
      <sz val="10"/>
      <color rgb="FFFF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69DB7C"/>
        <bgColor indexed="64"/>
      </patternFill>
    </fill>
    <fill>
      <patternFill patternType="solid">
        <fgColor rgb="FFFFA94D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2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www.wps.cn/officeDocument/2020/cellImage" Target="cellimag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pane ySplit="1" topLeftCell="A2" activePane="bottomLeft" state="frozen"/>
      <selection/>
      <selection pane="bottomLeft" activeCell="P14" sqref="P14"/>
    </sheetView>
  </sheetViews>
  <sheetFormatPr defaultColWidth="9" defaultRowHeight="14"/>
  <cols>
    <col min="1" max="1" width="12" customWidth="1"/>
    <col min="2" max="2" width="13" customWidth="1"/>
    <col min="3" max="3" width="10" customWidth="1"/>
    <col min="4" max="4" width="8" customWidth="1"/>
    <col min="5" max="5" width="28" customWidth="1"/>
    <col min="6" max="6" width="55" customWidth="1"/>
    <col min="7" max="7" width="40" customWidth="1"/>
    <col min="8" max="8" width="20" customWidth="1"/>
    <col min="9" max="9" width="12" customWidth="1"/>
    <col min="10" max="10" width="26.0909090909091" customWidth="1"/>
  </cols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10">
      <c r="A2" s="2" t="s">
        <v>9</v>
      </c>
      <c r="B2" s="3"/>
      <c r="C2" s="3"/>
      <c r="D2" s="3"/>
      <c r="E2" s="3"/>
      <c r="F2" s="3"/>
      <c r="G2" s="3"/>
      <c r="H2" s="3"/>
      <c r="I2" s="3"/>
    </row>
    <row r="3" ht="72.5" spans="1:10">
      <c r="A3" s="4" t="s">
        <v>10</v>
      </c>
      <c r="B3" s="4" t="s">
        <v>11</v>
      </c>
      <c r="C3" s="4" t="s">
        <v>12</v>
      </c>
      <c r="D3" s="8" t="s">
        <v>13</v>
      </c>
      <c r="E3" s="4" t="s">
        <v>14</v>
      </c>
      <c r="F3" s="4" t="s">
        <v>15</v>
      </c>
      <c r="G3" s="4" t="s">
        <v>16</v>
      </c>
      <c r="H3" s="4"/>
      <c r="I3" s="6" t="s">
        <v>17</v>
      </c>
      <c r="J3" s="4" t="s">
        <v>18</v>
      </c>
    </row>
    <row r="4" ht="58" spans="1:10">
      <c r="A4" s="4" t="s">
        <v>19</v>
      </c>
      <c r="B4" s="4" t="s">
        <v>11</v>
      </c>
      <c r="C4" s="4" t="s">
        <v>12</v>
      </c>
      <c r="D4" s="8" t="s">
        <v>13</v>
      </c>
      <c r="E4" s="4" t="s">
        <v>20</v>
      </c>
      <c r="F4" s="4" t="s">
        <v>21</v>
      </c>
      <c r="G4" s="4" t="s">
        <v>22</v>
      </c>
      <c r="H4" s="4" t="str">
        <f>_xlfn.DISPIMG("ID_977F2B4239F8489DA3146633F7F155F1",1)</f>
        <v>=DISPIMG("ID_977F2B4239F8489DA3146633F7F155F1",1)</v>
      </c>
      <c r="I4" s="6" t="s">
        <v>17</v>
      </c>
      <c r="J4" s="4" t="s">
        <v>18</v>
      </c>
    </row>
    <row r="5" ht="58" spans="1:10">
      <c r="A5" s="4" t="s">
        <v>23</v>
      </c>
      <c r="B5" s="4" t="s">
        <v>11</v>
      </c>
      <c r="C5" s="4" t="s">
        <v>12</v>
      </c>
      <c r="D5" s="8" t="s">
        <v>13</v>
      </c>
      <c r="E5" s="4" t="s">
        <v>20</v>
      </c>
      <c r="F5" s="4" t="s">
        <v>24</v>
      </c>
      <c r="G5" s="4" t="s">
        <v>25</v>
      </c>
      <c r="H5" s="4" t="str">
        <f>_xlfn.DISPIMG("ID_6388FC1FD566442B969A3300B737753E",1)</f>
        <v>=DISPIMG("ID_6388FC1FD566442B969A3300B737753E",1)</v>
      </c>
      <c r="I5" s="6" t="s">
        <v>17</v>
      </c>
      <c r="J5" s="4" t="s">
        <v>18</v>
      </c>
    </row>
    <row r="6" ht="43.5" spans="1:10">
      <c r="A6" s="4" t="s">
        <v>26</v>
      </c>
      <c r="B6" s="4" t="s">
        <v>11</v>
      </c>
      <c r="C6" s="4" t="s">
        <v>12</v>
      </c>
      <c r="D6" s="7" t="s">
        <v>27</v>
      </c>
      <c r="E6" s="4" t="s">
        <v>20</v>
      </c>
      <c r="F6" s="4" t="s">
        <v>28</v>
      </c>
      <c r="G6" s="4" t="s">
        <v>29</v>
      </c>
      <c r="H6" s="4" t="str">
        <f>_xlfn.DISPIMG("ID_92975BA5D32B4549926E99E2BDAB0AF6",1)</f>
        <v>=DISPIMG("ID_92975BA5D32B4549926E99E2BDAB0AF6",1)</v>
      </c>
      <c r="I6" s="6" t="s">
        <v>17</v>
      </c>
      <c r="J6" s="4" t="s">
        <v>18</v>
      </c>
    </row>
    <row r="7" ht="16.5" spans="1:10">
      <c r="A7" s="2" t="s">
        <v>30</v>
      </c>
      <c r="B7" s="3"/>
      <c r="C7" s="3"/>
      <c r="D7" s="3"/>
      <c r="E7" s="3"/>
      <c r="F7" s="3"/>
      <c r="G7" s="3"/>
      <c r="H7" s="3"/>
      <c r="I7" s="3"/>
    </row>
    <row r="8" ht="116" spans="1:10">
      <c r="A8" s="4" t="s">
        <v>31</v>
      </c>
      <c r="B8" s="4" t="s">
        <v>32</v>
      </c>
      <c r="C8" s="4" t="s">
        <v>12</v>
      </c>
      <c r="D8" s="8" t="s">
        <v>13</v>
      </c>
      <c r="E8" s="4" t="s">
        <v>33</v>
      </c>
      <c r="F8" s="4" t="s">
        <v>34</v>
      </c>
      <c r="G8" s="4" t="s">
        <v>35</v>
      </c>
      <c r="H8" s="4" t="str">
        <f>_xlfn.DISPIMG("ID_7B3A564CAB984D77991F62E844811A92",1)</f>
        <v>=DISPIMG("ID_7B3A564CAB984D77991F62E844811A92",1)</v>
      </c>
      <c r="I8" s="6" t="s">
        <v>17</v>
      </c>
      <c r="J8" s="4" t="s">
        <v>18</v>
      </c>
    </row>
    <row r="9" ht="43.5" spans="1:10">
      <c r="A9" s="4" t="s">
        <v>36</v>
      </c>
      <c r="B9" s="4" t="s">
        <v>32</v>
      </c>
      <c r="C9" s="4" t="s">
        <v>12</v>
      </c>
      <c r="D9" s="7" t="s">
        <v>27</v>
      </c>
      <c r="E9" s="4" t="s">
        <v>37</v>
      </c>
      <c r="F9" s="4" t="s">
        <v>38</v>
      </c>
      <c r="G9" s="4" t="s">
        <v>39</v>
      </c>
      <c r="H9" s="4" t="str">
        <f>_xlfn.DISPIMG("ID_FA7BDA98D1B84902AC70CBC1ECD281E1",1)</f>
        <v>=DISPIMG("ID_FA7BDA98D1B84902AC70CBC1ECD281E1",1)</v>
      </c>
      <c r="I9" s="6" t="s">
        <v>17</v>
      </c>
      <c r="J9" s="4" t="s">
        <v>18</v>
      </c>
    </row>
    <row r="10" ht="43.5" spans="1:10">
      <c r="A10" s="4" t="s">
        <v>40</v>
      </c>
      <c r="B10" s="4" t="s">
        <v>32</v>
      </c>
      <c r="C10" s="4" t="s">
        <v>12</v>
      </c>
      <c r="D10" s="7" t="s">
        <v>27</v>
      </c>
      <c r="E10" s="4" t="s">
        <v>41</v>
      </c>
      <c r="F10" s="4" t="s">
        <v>42</v>
      </c>
      <c r="G10" s="4" t="s">
        <v>43</v>
      </c>
      <c r="H10" s="4" t="str">
        <f>_xlfn.DISPIMG("ID_C43307AB9E984FB88D811C14DD245B31",1)</f>
        <v>=DISPIMG("ID_C43307AB9E984FB88D811C14DD245B31",1)</v>
      </c>
      <c r="I10" s="9" t="s">
        <v>44</v>
      </c>
      <c r="J10" s="4" t="s">
        <v>45</v>
      </c>
    </row>
  </sheetData>
  <autoFilter xmlns:etc="http://www.wps.cn/officeDocument/2017/etCustomData" ref="A1:I10" etc:filterBottomFollowUsedRange="0">
    <extLst/>
  </autoFilter>
  <mergeCells count="2">
    <mergeCell ref="A2:I2"/>
    <mergeCell ref="A7:I7"/>
  </mergeCells>
  <dataValidations count="1">
    <dataValidation type="list" allowBlank="1" errorTitle="无效输入" error="请选择: 通过/失败/阻塞/跳过" promptTitle="测试结果" prompt="请选择测试结果" sqref="I2:I500">
      <formula1>"通过,失败,阻塞,跳过"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pane ySplit="1" topLeftCell="A2" activePane="bottomLeft" state="frozen"/>
      <selection/>
      <selection pane="bottomLeft" activeCell="J11" sqref="J11"/>
    </sheetView>
  </sheetViews>
  <sheetFormatPr defaultColWidth="9" defaultRowHeight="14"/>
  <cols>
    <col min="1" max="1" width="12" customWidth="1"/>
    <col min="2" max="2" width="13" customWidth="1"/>
    <col min="3" max="3" width="10" customWidth="1"/>
    <col min="4" max="4" width="8" customWidth="1"/>
    <col min="5" max="5" width="28" customWidth="1"/>
    <col min="6" max="6" width="55" customWidth="1"/>
    <col min="7" max="7" width="40" customWidth="1"/>
    <col min="8" max="8" width="20" customWidth="1"/>
    <col min="9" max="9" width="12" customWidth="1"/>
    <col min="10" max="10" width="35.1818181818182" customWidth="1"/>
  </cols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10">
      <c r="A2" s="2" t="s">
        <v>46</v>
      </c>
      <c r="B2" s="3"/>
      <c r="C2" s="3"/>
      <c r="D2" s="3"/>
      <c r="E2" s="3"/>
      <c r="F2" s="3"/>
      <c r="G2" s="3"/>
      <c r="H2" s="3"/>
      <c r="I2" s="3"/>
    </row>
    <row r="3" ht="58" spans="1:10">
      <c r="A3" s="4" t="s">
        <v>47</v>
      </c>
      <c r="B3" s="4" t="s">
        <v>48</v>
      </c>
      <c r="C3" s="4" t="s">
        <v>49</v>
      </c>
      <c r="D3" s="7" t="s">
        <v>27</v>
      </c>
      <c r="E3" s="4" t="s">
        <v>50</v>
      </c>
      <c r="F3" s="4" t="s">
        <v>51</v>
      </c>
      <c r="G3" s="4" t="s">
        <v>52</v>
      </c>
      <c r="H3" s="4" t="str">
        <f>_xlfn.DISPIMG("ID_B30AEBCBB2544039A9AF90EFA40D5D3E",1)</f>
        <v>=DISPIMG("ID_B30AEBCBB2544039A9AF90EFA40D5D3E",1)</v>
      </c>
      <c r="I3" s="6" t="s">
        <v>17</v>
      </c>
      <c r="J3" s="4" t="s">
        <v>18</v>
      </c>
    </row>
    <row r="4" ht="72.5" spans="1:10">
      <c r="A4" s="4" t="s">
        <v>53</v>
      </c>
      <c r="B4" s="4" t="s">
        <v>48</v>
      </c>
      <c r="C4" s="4" t="s">
        <v>49</v>
      </c>
      <c r="D4" s="8" t="s">
        <v>13</v>
      </c>
      <c r="E4" s="4" t="s">
        <v>54</v>
      </c>
      <c r="F4" s="4" t="s">
        <v>55</v>
      </c>
      <c r="G4" s="4" t="s">
        <v>56</v>
      </c>
      <c r="H4" s="4" t="str">
        <f>_xlfn.DISPIMG("ID_D324851F2AE94FF390B7DDE254077D6A",1)</f>
        <v>=DISPIMG("ID_D324851F2AE94FF390B7DDE254077D6A",1)</v>
      </c>
      <c r="I4" s="6" t="s">
        <v>17</v>
      </c>
      <c r="J4" s="4" t="s">
        <v>57</v>
      </c>
    </row>
    <row r="5" ht="16.5" spans="1:10">
      <c r="A5" s="2" t="s">
        <v>58</v>
      </c>
      <c r="B5" s="3"/>
      <c r="C5" s="3"/>
      <c r="D5" s="3"/>
      <c r="E5" s="3"/>
      <c r="F5" s="3"/>
      <c r="G5" s="3"/>
      <c r="H5" s="3"/>
      <c r="I5" s="3"/>
    </row>
    <row r="6" ht="43.5" spans="1:10">
      <c r="A6" s="4" t="s">
        <v>59</v>
      </c>
      <c r="B6" s="4" t="s">
        <v>60</v>
      </c>
      <c r="C6" s="4" t="s">
        <v>61</v>
      </c>
      <c r="D6" s="8" t="s">
        <v>13</v>
      </c>
      <c r="E6" s="4" t="s">
        <v>62</v>
      </c>
      <c r="F6" s="4" t="s">
        <v>63</v>
      </c>
      <c r="G6" s="4" t="s">
        <v>64</v>
      </c>
      <c r="H6" s="4" t="str">
        <f>_xlfn.DISPIMG("ID_7F50EDFAB2FF403BA48983E405035894",1)</f>
        <v>=DISPIMG("ID_7F50EDFAB2FF403BA48983E405035894",1)</v>
      </c>
      <c r="I6" s="9" t="s">
        <v>65</v>
      </c>
      <c r="J6" s="4" t="s">
        <v>18</v>
      </c>
    </row>
    <row r="7" ht="43.5" spans="1:10">
      <c r="A7" s="4" t="s">
        <v>66</v>
      </c>
      <c r="B7" s="4" t="s">
        <v>60</v>
      </c>
      <c r="C7" s="4" t="s">
        <v>61</v>
      </c>
      <c r="D7" s="7" t="s">
        <v>27</v>
      </c>
      <c r="E7" s="4" t="s">
        <v>67</v>
      </c>
      <c r="F7" s="4" t="s">
        <v>68</v>
      </c>
      <c r="G7" s="4" t="s">
        <v>69</v>
      </c>
      <c r="H7" s="4" t="str">
        <f>_xlfn.DISPIMG("ID_694E4EA4D749442EA37B034705F203DC",1)</f>
        <v>=DISPIMG("ID_694E4EA4D749442EA37B034705F203DC",1)</v>
      </c>
      <c r="I7" s="6" t="s">
        <v>17</v>
      </c>
      <c r="J7" s="4" t="s">
        <v>70</v>
      </c>
    </row>
    <row r="8" ht="16.5" spans="1:10">
      <c r="A8" s="2" t="s">
        <v>71</v>
      </c>
      <c r="B8" s="3"/>
      <c r="C8" s="3"/>
      <c r="D8" s="3"/>
      <c r="E8" s="3"/>
      <c r="F8" s="3"/>
      <c r="G8" s="3"/>
      <c r="H8" s="3"/>
      <c r="I8" s="3"/>
    </row>
    <row r="9" ht="43.5" spans="1:10">
      <c r="A9" s="4" t="s">
        <v>72</v>
      </c>
      <c r="B9" s="4" t="s">
        <v>73</v>
      </c>
      <c r="C9" s="4" t="s">
        <v>74</v>
      </c>
      <c r="D9" s="8" t="s">
        <v>13</v>
      </c>
      <c r="E9" s="4" t="s">
        <v>75</v>
      </c>
      <c r="F9" s="4" t="s">
        <v>76</v>
      </c>
      <c r="G9" s="4" t="s">
        <v>77</v>
      </c>
      <c r="H9" s="4" t="str">
        <f>_xlfn.DISPIMG("ID_E300666A036F48409887BC814EAC8913",1)</f>
        <v>=DISPIMG("ID_E300666A036F48409887BC814EAC8913",1)</v>
      </c>
      <c r="I9" s="6" t="s">
        <v>17</v>
      </c>
      <c r="J9" s="4" t="s">
        <v>78</v>
      </c>
    </row>
    <row r="10" ht="43.5" spans="1:10">
      <c r="A10" s="4" t="s">
        <v>79</v>
      </c>
      <c r="B10" s="4" t="s">
        <v>73</v>
      </c>
      <c r="C10" s="4" t="s">
        <v>74</v>
      </c>
      <c r="D10" s="8" t="s">
        <v>13</v>
      </c>
      <c r="E10" s="4" t="s">
        <v>80</v>
      </c>
      <c r="F10" s="4" t="s">
        <v>81</v>
      </c>
      <c r="G10" s="4" t="s">
        <v>82</v>
      </c>
      <c r="H10" s="4" t="str">
        <f>_xlfn.DISPIMG("ID_3DD0662645A548AB8F70E1065A1961FF",1)</f>
        <v>=DISPIMG("ID_3DD0662645A548AB8F70E1065A1961FF",1)</v>
      </c>
      <c r="I10" s="6" t="s">
        <v>17</v>
      </c>
      <c r="J10" s="4" t="s">
        <v>70</v>
      </c>
    </row>
    <row r="11" ht="43.5" spans="1:10">
      <c r="A11" s="4" t="s">
        <v>83</v>
      </c>
      <c r="B11" s="4" t="s">
        <v>73</v>
      </c>
      <c r="C11" s="4" t="s">
        <v>74</v>
      </c>
      <c r="D11" s="7" t="s">
        <v>27</v>
      </c>
      <c r="E11" s="4" t="s">
        <v>84</v>
      </c>
      <c r="F11" s="4" t="s">
        <v>85</v>
      </c>
      <c r="G11" s="4" t="s">
        <v>86</v>
      </c>
      <c r="H11" s="4" t="str">
        <f>_xlfn.DISPIMG("ID_3645AA719E5245788FFB10BE529A489D",1)</f>
        <v>=DISPIMG("ID_3645AA719E5245788FFB10BE529A489D",1)</v>
      </c>
      <c r="I11" s="6" t="s">
        <v>17</v>
      </c>
      <c r="J11" s="4" t="s">
        <v>70</v>
      </c>
    </row>
  </sheetData>
  <autoFilter xmlns:etc="http://www.wps.cn/officeDocument/2017/etCustomData" ref="A1:I11" etc:filterBottomFollowUsedRange="0">
    <extLst/>
  </autoFilter>
  <mergeCells count="3">
    <mergeCell ref="A2:I2"/>
    <mergeCell ref="A5:I5"/>
    <mergeCell ref="A8:I8"/>
  </mergeCells>
  <dataValidations count="1">
    <dataValidation type="list" allowBlank="1" errorTitle="无效输入" error="请选择: 通过/失败/阻塞/跳过" promptTitle="测试结果" prompt="请选择测试结果" sqref="I2:I500">
      <formula1>"通过,失败,阻塞,跳过"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4"/>
  <cols>
    <col min="1" max="1" width="12" customWidth="1"/>
    <col min="2" max="2" width="13" customWidth="1"/>
    <col min="3" max="3" width="10" customWidth="1"/>
    <col min="4" max="4" width="8" customWidth="1"/>
    <col min="5" max="5" width="28" customWidth="1"/>
    <col min="6" max="6" width="55" customWidth="1"/>
    <col min="7" max="7" width="40" customWidth="1"/>
    <col min="8" max="8" width="20" customWidth="1"/>
    <col min="9" max="9" width="12" customWidth="1"/>
  </cols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10">
      <c r="A2" s="2" t="s">
        <v>87</v>
      </c>
      <c r="B2" s="3"/>
      <c r="C2" s="3"/>
      <c r="D2" s="3"/>
      <c r="E2" s="3"/>
      <c r="F2" s="3"/>
      <c r="G2" s="3"/>
      <c r="H2" s="3"/>
      <c r="I2" s="3"/>
    </row>
    <row r="3" ht="72.5" spans="1:10">
      <c r="A3" s="4" t="s">
        <v>88</v>
      </c>
      <c r="B3" s="4" t="s">
        <v>89</v>
      </c>
      <c r="C3" s="4" t="s">
        <v>90</v>
      </c>
      <c r="D3" s="8" t="s">
        <v>13</v>
      </c>
      <c r="E3" s="4" t="s">
        <v>91</v>
      </c>
      <c r="F3" s="4" t="s">
        <v>92</v>
      </c>
      <c r="G3" s="4" t="s">
        <v>93</v>
      </c>
      <c r="H3" s="4" t="s">
        <v>18</v>
      </c>
      <c r="I3" s="6" t="s">
        <v>18</v>
      </c>
      <c r="J3" s="4" t="s">
        <v>18</v>
      </c>
    </row>
    <row r="4" ht="29" spans="1:10">
      <c r="A4" s="4" t="s">
        <v>94</v>
      </c>
      <c r="B4" s="4" t="s">
        <v>89</v>
      </c>
      <c r="C4" s="4" t="s">
        <v>90</v>
      </c>
      <c r="D4" s="8" t="s">
        <v>13</v>
      </c>
      <c r="E4" s="4" t="s">
        <v>95</v>
      </c>
      <c r="F4" s="4" t="s">
        <v>96</v>
      </c>
      <c r="G4" s="4" t="s">
        <v>97</v>
      </c>
      <c r="H4" s="4" t="s">
        <v>18</v>
      </c>
      <c r="I4" s="6" t="s">
        <v>18</v>
      </c>
      <c r="J4" s="4" t="s">
        <v>98</v>
      </c>
    </row>
    <row r="5" ht="43.5" spans="1:10">
      <c r="A5" s="4" t="s">
        <v>99</v>
      </c>
      <c r="B5" s="4" t="s">
        <v>89</v>
      </c>
      <c r="C5" s="4" t="s">
        <v>90</v>
      </c>
      <c r="D5" s="7" t="s">
        <v>27</v>
      </c>
      <c r="E5" s="4" t="s">
        <v>100</v>
      </c>
      <c r="F5" s="4" t="s">
        <v>101</v>
      </c>
      <c r="G5" s="4" t="s">
        <v>102</v>
      </c>
      <c r="H5" s="4" t="s">
        <v>18</v>
      </c>
      <c r="I5" s="6" t="s">
        <v>18</v>
      </c>
      <c r="J5" s="4" t="s">
        <v>18</v>
      </c>
    </row>
  </sheetData>
  <autoFilter xmlns:etc="http://www.wps.cn/officeDocument/2017/etCustomData" ref="A1:I5" etc:filterBottomFollowUsedRange="0">
    <extLst/>
  </autoFilter>
  <mergeCells count="1">
    <mergeCell ref="A2:I2"/>
  </mergeCells>
  <dataValidations count="1">
    <dataValidation type="list" allowBlank="1" errorTitle="无效输入" error="请选择: 通过/失败/阻塞/跳过" promptTitle="测试结果" prompt="请选择测试结果" sqref="I2:I500">
      <formula1>"通过,失败,阻塞,跳过"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2"/>
  <cols>
    <col min="1" max="1" width="12" customWidth="1"/>
    <col min="2" max="2" width="13" customWidth="1"/>
    <col min="3" max="3" width="10" customWidth="1"/>
    <col min="4" max="4" width="8" customWidth="1"/>
    <col min="5" max="5" width="28" customWidth="1"/>
    <col min="6" max="6" width="55" customWidth="1"/>
    <col min="7" max="7" width="40" customWidth="1"/>
    <col min="8" max="8" width="20" customWidth="1"/>
    <col min="9" max="9" width="12" customWidth="1"/>
  </cols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10">
      <c r="A2" s="2" t="s">
        <v>103</v>
      </c>
      <c r="B2" s="3"/>
      <c r="C2" s="3"/>
      <c r="D2" s="3"/>
      <c r="E2" s="3"/>
      <c r="F2" s="3"/>
      <c r="G2" s="3"/>
      <c r="H2" s="3"/>
      <c r="I2" s="3"/>
    </row>
    <row r="3" ht="58" spans="1:10">
      <c r="A3" s="4" t="s">
        <v>104</v>
      </c>
      <c r="B3" s="4" t="s">
        <v>105</v>
      </c>
      <c r="C3" s="4" t="s">
        <v>106</v>
      </c>
      <c r="D3" s="7" t="s">
        <v>27</v>
      </c>
      <c r="E3" s="4" t="s">
        <v>107</v>
      </c>
      <c r="F3" s="4" t="s">
        <v>108</v>
      </c>
      <c r="G3" s="4" t="s">
        <v>109</v>
      </c>
      <c r="H3" s="4" t="s">
        <v>18</v>
      </c>
      <c r="I3" s="6" t="s">
        <v>18</v>
      </c>
      <c r="J3" s="4" t="s">
        <v>18</v>
      </c>
    </row>
  </sheetData>
  <autoFilter xmlns:etc="http://www.wps.cn/officeDocument/2017/etCustomData" ref="A1:I3" etc:filterBottomFollowUsedRange="0">
    <extLst/>
  </autoFilter>
  <mergeCells count="1">
    <mergeCell ref="A2:I2"/>
  </mergeCells>
  <dataValidations count="1">
    <dataValidation type="list" allowBlank="1" errorTitle="无效输入" error="请选择: 通过/失败/阻塞/跳过" promptTitle="测试结果" prompt="请选择测试结果" sqref="I2:I500">
      <formula1>"通过,失败,阻塞,跳过"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/>
  <cols>
    <col min="1" max="1" width="12" customWidth="1"/>
    <col min="2" max="2" width="13" customWidth="1"/>
    <col min="3" max="3" width="10" customWidth="1"/>
    <col min="4" max="4" width="8" customWidth="1"/>
    <col min="5" max="5" width="28" customWidth="1"/>
    <col min="6" max="6" width="55" customWidth="1"/>
    <col min="7" max="7" width="40" customWidth="1"/>
    <col min="8" max="8" width="20" customWidth="1"/>
    <col min="9" max="9" width="12" customWidth="1"/>
  </cols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10">
      <c r="A2" s="2" t="s">
        <v>110</v>
      </c>
      <c r="B2" s="3"/>
      <c r="C2" s="3"/>
      <c r="D2" s="3"/>
      <c r="E2" s="3"/>
      <c r="F2" s="3"/>
      <c r="G2" s="3"/>
      <c r="H2" s="3"/>
      <c r="I2" s="3"/>
    </row>
    <row r="3" ht="72.5" spans="1:10">
      <c r="A3" s="4" t="s">
        <v>111</v>
      </c>
      <c r="B3" s="4" t="s">
        <v>112</v>
      </c>
      <c r="C3" s="4" t="s">
        <v>113</v>
      </c>
      <c r="D3" s="7" t="s">
        <v>27</v>
      </c>
      <c r="E3" s="4" t="s">
        <v>114</v>
      </c>
      <c r="F3" s="4" t="s">
        <v>115</v>
      </c>
      <c r="G3" s="4" t="s">
        <v>116</v>
      </c>
      <c r="H3" s="4" t="s">
        <v>18</v>
      </c>
      <c r="I3" s="6" t="s">
        <v>18</v>
      </c>
      <c r="J3" s="4" t="s">
        <v>18</v>
      </c>
    </row>
    <row r="4" ht="29" spans="1:10">
      <c r="A4" s="4" t="s">
        <v>117</v>
      </c>
      <c r="B4" s="4" t="s">
        <v>112</v>
      </c>
      <c r="C4" s="4" t="s">
        <v>113</v>
      </c>
      <c r="D4" s="7" t="s">
        <v>27</v>
      </c>
      <c r="E4" s="4" t="s">
        <v>118</v>
      </c>
      <c r="F4" s="4" t="s">
        <v>119</v>
      </c>
      <c r="G4" s="4" t="s">
        <v>120</v>
      </c>
      <c r="H4" s="4" t="s">
        <v>18</v>
      </c>
      <c r="I4" s="6" t="s">
        <v>18</v>
      </c>
      <c r="J4" s="4" t="s">
        <v>18</v>
      </c>
    </row>
    <row r="5" ht="29" spans="1:10">
      <c r="A5" s="4" t="s">
        <v>121</v>
      </c>
      <c r="B5" s="4" t="s">
        <v>112</v>
      </c>
      <c r="C5" s="4" t="s">
        <v>113</v>
      </c>
      <c r="D5" s="7" t="s">
        <v>27</v>
      </c>
      <c r="E5" s="4" t="s">
        <v>122</v>
      </c>
      <c r="F5" s="4" t="s">
        <v>123</v>
      </c>
      <c r="G5" s="4" t="s">
        <v>124</v>
      </c>
      <c r="H5" s="4" t="s">
        <v>18</v>
      </c>
      <c r="I5" s="6" t="s">
        <v>18</v>
      </c>
      <c r="J5" s="4" t="s">
        <v>18</v>
      </c>
    </row>
    <row r="6" ht="29" spans="1:10">
      <c r="A6" s="4" t="s">
        <v>125</v>
      </c>
      <c r="B6" s="4" t="s">
        <v>112</v>
      </c>
      <c r="C6" s="4" t="s">
        <v>113</v>
      </c>
      <c r="D6" s="7" t="s">
        <v>27</v>
      </c>
      <c r="E6" s="4" t="s">
        <v>126</v>
      </c>
      <c r="F6" s="4" t="s">
        <v>127</v>
      </c>
      <c r="G6" s="4" t="s">
        <v>128</v>
      </c>
      <c r="H6" s="4" t="s">
        <v>18</v>
      </c>
      <c r="I6" s="6" t="s">
        <v>18</v>
      </c>
      <c r="J6" s="4" t="s">
        <v>18</v>
      </c>
    </row>
    <row r="7" ht="29" spans="1:10">
      <c r="A7" s="4" t="s">
        <v>129</v>
      </c>
      <c r="B7" s="4" t="s">
        <v>112</v>
      </c>
      <c r="C7" s="4" t="s">
        <v>113</v>
      </c>
      <c r="D7" s="7" t="s">
        <v>27</v>
      </c>
      <c r="E7" s="4" t="s">
        <v>130</v>
      </c>
      <c r="F7" s="4" t="s">
        <v>131</v>
      </c>
      <c r="G7" s="4" t="s">
        <v>132</v>
      </c>
      <c r="H7" s="4" t="s">
        <v>18</v>
      </c>
      <c r="I7" s="6" t="s">
        <v>18</v>
      </c>
      <c r="J7" s="4" t="s">
        <v>18</v>
      </c>
    </row>
  </sheetData>
  <autoFilter xmlns:etc="http://www.wps.cn/officeDocument/2017/etCustomData" ref="A1:I7" etc:filterBottomFollowUsedRange="0">
    <extLst/>
  </autoFilter>
  <mergeCells count="1">
    <mergeCell ref="A2:I2"/>
  </mergeCells>
  <dataValidations count="1">
    <dataValidation type="list" allowBlank="1" errorTitle="无效输入" error="请选择: 通过/失败/阻塞/跳过" promptTitle="测试结果" prompt="请选择测试结果" sqref="I2:I500">
      <formula1>"通过,失败,阻塞,跳过"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5"/>
  <cols>
    <col min="1" max="1" width="12" customWidth="1"/>
    <col min="2" max="2" width="13" customWidth="1"/>
    <col min="3" max="3" width="10" customWidth="1"/>
    <col min="4" max="4" width="8" customWidth="1"/>
    <col min="5" max="5" width="28" customWidth="1"/>
    <col min="6" max="6" width="55" customWidth="1"/>
    <col min="7" max="7" width="40" customWidth="1"/>
    <col min="8" max="8" width="20" customWidth="1"/>
    <col min="9" max="9" width="12" customWidth="1"/>
  </cols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10">
      <c r="A2" s="2" t="s">
        <v>133</v>
      </c>
      <c r="B2" s="3"/>
      <c r="C2" s="3"/>
      <c r="D2" s="3"/>
      <c r="E2" s="3"/>
      <c r="F2" s="3"/>
      <c r="G2" s="3"/>
      <c r="H2" s="3"/>
      <c r="I2" s="3"/>
    </row>
    <row r="3" ht="101.5" spans="1:10">
      <c r="A3" s="4" t="s">
        <v>134</v>
      </c>
      <c r="B3" s="4" t="s">
        <v>135</v>
      </c>
      <c r="C3" s="4" t="s">
        <v>136</v>
      </c>
      <c r="D3" s="8" t="s">
        <v>13</v>
      </c>
      <c r="E3" s="4" t="s">
        <v>137</v>
      </c>
      <c r="F3" s="4" t="s">
        <v>138</v>
      </c>
      <c r="G3" s="4" t="s">
        <v>139</v>
      </c>
      <c r="H3" s="4" t="s">
        <v>18</v>
      </c>
      <c r="I3" s="6" t="s">
        <v>18</v>
      </c>
      <c r="J3" s="4" t="s">
        <v>18</v>
      </c>
    </row>
    <row r="4" ht="29" spans="1:10">
      <c r="A4" s="4" t="s">
        <v>140</v>
      </c>
      <c r="B4" s="4" t="s">
        <v>135</v>
      </c>
      <c r="C4" s="4" t="s">
        <v>136</v>
      </c>
      <c r="D4" s="8" t="s">
        <v>13</v>
      </c>
      <c r="E4" s="4" t="s">
        <v>141</v>
      </c>
      <c r="F4" s="4" t="s">
        <v>142</v>
      </c>
      <c r="G4" s="4" t="s">
        <v>143</v>
      </c>
      <c r="H4" s="4" t="s">
        <v>18</v>
      </c>
      <c r="I4" s="6" t="s">
        <v>18</v>
      </c>
      <c r="J4" s="4" t="s">
        <v>144</v>
      </c>
    </row>
    <row r="5" ht="43.5" spans="1:10">
      <c r="A5" s="4" t="s">
        <v>145</v>
      </c>
      <c r="B5" s="4" t="s">
        <v>135</v>
      </c>
      <c r="C5" s="4" t="s">
        <v>146</v>
      </c>
      <c r="D5" s="7" t="s">
        <v>27</v>
      </c>
      <c r="E5" s="4" t="s">
        <v>147</v>
      </c>
      <c r="F5" s="4" t="s">
        <v>148</v>
      </c>
      <c r="G5" s="4" t="s">
        <v>149</v>
      </c>
      <c r="H5" s="4" t="s">
        <v>18</v>
      </c>
      <c r="I5" s="6" t="s">
        <v>18</v>
      </c>
      <c r="J5" s="4" t="s">
        <v>18</v>
      </c>
    </row>
    <row r="6" ht="43.5" spans="1:10">
      <c r="A6" s="4" t="s">
        <v>150</v>
      </c>
      <c r="B6" s="4" t="s">
        <v>135</v>
      </c>
      <c r="C6" s="4" t="s">
        <v>151</v>
      </c>
      <c r="D6" s="8" t="s">
        <v>13</v>
      </c>
      <c r="E6" s="4" t="s">
        <v>152</v>
      </c>
      <c r="F6" s="4" t="s">
        <v>153</v>
      </c>
      <c r="G6" s="4" t="s">
        <v>154</v>
      </c>
      <c r="H6" s="4" t="s">
        <v>18</v>
      </c>
      <c r="I6" s="6" t="s">
        <v>18</v>
      </c>
      <c r="J6" s="4" t="s">
        <v>18</v>
      </c>
    </row>
  </sheetData>
  <autoFilter xmlns:etc="http://www.wps.cn/officeDocument/2017/etCustomData" ref="A1:I6" etc:filterBottomFollowUsedRange="0">
    <extLst/>
  </autoFilter>
  <mergeCells count="1">
    <mergeCell ref="A2:I2"/>
  </mergeCells>
  <dataValidations count="1">
    <dataValidation type="list" allowBlank="1" errorTitle="无效输入" error="请选择: 通过/失败/阻塞/跳过" promptTitle="测试结果" prompt="请选择测试结果" sqref="I2:I500">
      <formula1>"通过,失败,阻塞,跳过"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4"/>
  <cols>
    <col min="1" max="1" width="12" customWidth="1"/>
    <col min="2" max="2" width="13" customWidth="1"/>
    <col min="3" max="3" width="10" customWidth="1"/>
    <col min="4" max="4" width="8" customWidth="1"/>
    <col min="5" max="5" width="28" customWidth="1"/>
    <col min="6" max="6" width="55" customWidth="1"/>
    <col min="7" max="7" width="40" customWidth="1"/>
    <col min="8" max="8" width="20" customWidth="1"/>
    <col min="9" max="9" width="12" customWidth="1"/>
  </cols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10">
      <c r="A2" s="2" t="s">
        <v>155</v>
      </c>
      <c r="B2" s="3"/>
      <c r="C2" s="3"/>
      <c r="D2" s="3"/>
      <c r="E2" s="3"/>
      <c r="F2" s="3"/>
      <c r="G2" s="3"/>
      <c r="H2" s="3"/>
      <c r="I2" s="3"/>
    </row>
    <row r="3" ht="87" spans="1:10">
      <c r="A3" s="4" t="s">
        <v>156</v>
      </c>
      <c r="B3" s="4" t="s">
        <v>157</v>
      </c>
      <c r="C3" s="4" t="s">
        <v>158</v>
      </c>
      <c r="D3" s="8" t="s">
        <v>13</v>
      </c>
      <c r="E3" s="4" t="s">
        <v>159</v>
      </c>
      <c r="F3" s="4" t="s">
        <v>160</v>
      </c>
      <c r="G3" s="4" t="s">
        <v>161</v>
      </c>
      <c r="H3" s="4" t="s">
        <v>18</v>
      </c>
      <c r="I3" s="6" t="s">
        <v>18</v>
      </c>
      <c r="J3" s="4" t="s">
        <v>18</v>
      </c>
    </row>
    <row r="4" ht="43.5" spans="1:10">
      <c r="A4" s="4" t="s">
        <v>162</v>
      </c>
      <c r="B4" s="4" t="s">
        <v>157</v>
      </c>
      <c r="C4" s="4" t="s">
        <v>163</v>
      </c>
      <c r="D4" s="7" t="s">
        <v>27</v>
      </c>
      <c r="E4" s="4" t="s">
        <v>164</v>
      </c>
      <c r="F4" s="4" t="s">
        <v>165</v>
      </c>
      <c r="G4" s="4" t="s">
        <v>166</v>
      </c>
      <c r="H4" s="4" t="s">
        <v>18</v>
      </c>
      <c r="I4" s="6" t="s">
        <v>18</v>
      </c>
      <c r="J4" s="4" t="s">
        <v>18</v>
      </c>
    </row>
    <row r="5" ht="43.5" spans="1:10">
      <c r="A5" s="4" t="s">
        <v>167</v>
      </c>
      <c r="B5" s="4" t="s">
        <v>157</v>
      </c>
      <c r="C5" s="4" t="s">
        <v>168</v>
      </c>
      <c r="D5" s="7" t="s">
        <v>27</v>
      </c>
      <c r="E5" s="4" t="s">
        <v>169</v>
      </c>
      <c r="F5" s="4" t="s">
        <v>170</v>
      </c>
      <c r="G5" s="4" t="s">
        <v>171</v>
      </c>
      <c r="H5" s="4" t="s">
        <v>18</v>
      </c>
      <c r="I5" s="6" t="s">
        <v>18</v>
      </c>
      <c r="J5" s="4" t="s">
        <v>18</v>
      </c>
    </row>
  </sheetData>
  <autoFilter xmlns:etc="http://www.wps.cn/officeDocument/2017/etCustomData" ref="A1:I5" etc:filterBottomFollowUsedRange="0">
    <extLst/>
  </autoFilter>
  <mergeCells count="1">
    <mergeCell ref="A2:I2"/>
  </mergeCells>
  <dataValidations count="1">
    <dataValidation type="list" allowBlank="1" errorTitle="无效输入" error="请选择: 通过/失败/阻塞/跳过" promptTitle="测试结果" prompt="请选择测试结果" sqref="I2:I500">
      <formula1>"通过,失败,阻塞,跳过"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/>
  <cols>
    <col min="1" max="1" width="12" customWidth="1"/>
    <col min="2" max="2" width="13" customWidth="1"/>
    <col min="3" max="3" width="10" customWidth="1"/>
    <col min="4" max="4" width="8" customWidth="1"/>
    <col min="5" max="5" width="28" customWidth="1"/>
    <col min="6" max="6" width="55" customWidth="1"/>
    <col min="7" max="7" width="40" customWidth="1"/>
    <col min="8" max="8" width="20" customWidth="1"/>
    <col min="9" max="9" width="12" customWidth="1"/>
  </cols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10">
      <c r="A2" s="2" t="s">
        <v>172</v>
      </c>
      <c r="B2" s="3"/>
      <c r="C2" s="3"/>
      <c r="D2" s="3"/>
      <c r="E2" s="3"/>
      <c r="F2" s="3"/>
      <c r="G2" s="3"/>
      <c r="H2" s="3"/>
      <c r="I2" s="3"/>
    </row>
    <row r="3" ht="72.5" spans="1:10">
      <c r="A3" s="4" t="s">
        <v>173</v>
      </c>
      <c r="B3" s="4" t="s">
        <v>174</v>
      </c>
      <c r="C3" s="4" t="s">
        <v>175</v>
      </c>
      <c r="D3" s="8" t="s">
        <v>13</v>
      </c>
      <c r="E3" s="4" t="s">
        <v>176</v>
      </c>
      <c r="F3" s="4" t="s">
        <v>177</v>
      </c>
      <c r="G3" s="4" t="s">
        <v>178</v>
      </c>
      <c r="H3" s="4" t="s">
        <v>18</v>
      </c>
      <c r="I3" s="6" t="s">
        <v>18</v>
      </c>
      <c r="J3" s="4" t="s">
        <v>179</v>
      </c>
    </row>
    <row r="4" ht="43.5" spans="1:10">
      <c r="A4" s="4" t="s">
        <v>180</v>
      </c>
      <c r="B4" s="4" t="s">
        <v>174</v>
      </c>
      <c r="C4" s="4" t="s">
        <v>181</v>
      </c>
      <c r="D4" s="7" t="s">
        <v>27</v>
      </c>
      <c r="E4" s="4" t="s">
        <v>182</v>
      </c>
      <c r="F4" s="4" t="s">
        <v>183</v>
      </c>
      <c r="G4" s="4" t="s">
        <v>184</v>
      </c>
      <c r="H4" s="4" t="s">
        <v>18</v>
      </c>
      <c r="I4" s="6" t="s">
        <v>18</v>
      </c>
      <c r="J4" s="4" t="s">
        <v>18</v>
      </c>
    </row>
  </sheetData>
  <autoFilter xmlns:etc="http://www.wps.cn/officeDocument/2017/etCustomData" ref="A1:I4" etc:filterBottomFollowUsedRange="0">
    <extLst/>
  </autoFilter>
  <mergeCells count="1">
    <mergeCell ref="A2:I2"/>
  </mergeCells>
  <dataValidations count="1">
    <dataValidation type="list" allowBlank="1" errorTitle="无效输入" error="请选择: 通过/失败/阻塞/跳过" promptTitle="测试结果" prompt="请选择测试结果" sqref="I2:I500">
      <formula1>"通过,失败,阻塞,跳过"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2" customWidth="1"/>
    <col min="2" max="2" width="13" customWidth="1"/>
    <col min="3" max="3" width="10" customWidth="1"/>
    <col min="4" max="4" width="8" customWidth="1"/>
    <col min="5" max="5" width="28" customWidth="1"/>
    <col min="6" max="6" width="55" customWidth="1"/>
    <col min="7" max="7" width="40" customWidth="1"/>
    <col min="8" max="8" width="20" customWidth="1"/>
    <col min="9" max="9" width="12" customWidth="1"/>
  </cols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10">
      <c r="A2" s="2" t="s">
        <v>185</v>
      </c>
      <c r="B2" s="3"/>
      <c r="C2" s="3"/>
      <c r="D2" s="3"/>
      <c r="E2" s="3"/>
      <c r="F2" s="3"/>
      <c r="G2" s="3"/>
      <c r="H2" s="3"/>
      <c r="I2" s="3"/>
    </row>
    <row r="3" ht="188.5" spans="1:10">
      <c r="A3" s="4" t="s">
        <v>186</v>
      </c>
      <c r="B3" s="4" t="s">
        <v>187</v>
      </c>
      <c r="C3" s="4" t="s">
        <v>188</v>
      </c>
      <c r="D3" s="8" t="s">
        <v>13</v>
      </c>
      <c r="E3" s="4" t="s">
        <v>189</v>
      </c>
      <c r="F3" s="4" t="s">
        <v>190</v>
      </c>
      <c r="G3" s="4" t="s">
        <v>191</v>
      </c>
      <c r="H3" s="4" t="s">
        <v>18</v>
      </c>
      <c r="I3" s="6" t="s">
        <v>18</v>
      </c>
      <c r="J3" s="4" t="s">
        <v>192</v>
      </c>
    </row>
    <row r="4" ht="58" spans="1:10">
      <c r="A4" s="4" t="s">
        <v>193</v>
      </c>
      <c r="B4" s="4" t="s">
        <v>187</v>
      </c>
      <c r="C4" s="4" t="s">
        <v>188</v>
      </c>
      <c r="D4" s="8" t="s">
        <v>13</v>
      </c>
      <c r="E4" s="4" t="s">
        <v>194</v>
      </c>
      <c r="F4" s="4" t="s">
        <v>195</v>
      </c>
      <c r="G4" s="4" t="s">
        <v>196</v>
      </c>
      <c r="H4" s="4" t="s">
        <v>18</v>
      </c>
      <c r="I4" s="6" t="s">
        <v>18</v>
      </c>
      <c r="J4" s="4" t="s">
        <v>18</v>
      </c>
    </row>
    <row r="5" ht="43.5" spans="1:10">
      <c r="A5" s="4" t="s">
        <v>197</v>
      </c>
      <c r="B5" s="4" t="s">
        <v>187</v>
      </c>
      <c r="C5" s="4" t="s">
        <v>188</v>
      </c>
      <c r="D5" s="8" t="s">
        <v>13</v>
      </c>
      <c r="E5" s="4" t="s">
        <v>198</v>
      </c>
      <c r="F5" s="4" t="s">
        <v>199</v>
      </c>
      <c r="G5" s="4" t="s">
        <v>200</v>
      </c>
      <c r="H5" s="4" t="s">
        <v>18</v>
      </c>
      <c r="I5" s="6" t="s">
        <v>18</v>
      </c>
      <c r="J5" s="4" t="s">
        <v>18</v>
      </c>
    </row>
    <row r="6" ht="58" spans="1:10">
      <c r="A6" s="4" t="s">
        <v>201</v>
      </c>
      <c r="B6" s="4" t="s">
        <v>187</v>
      </c>
      <c r="C6" s="4" t="s">
        <v>188</v>
      </c>
      <c r="D6" s="7" t="s">
        <v>27</v>
      </c>
      <c r="E6" s="4" t="s">
        <v>202</v>
      </c>
      <c r="F6" s="4" t="s">
        <v>203</v>
      </c>
      <c r="G6" s="4" t="s">
        <v>204</v>
      </c>
      <c r="H6" s="4" t="s">
        <v>18</v>
      </c>
      <c r="I6" s="6" t="s">
        <v>18</v>
      </c>
      <c r="J6" s="4" t="s">
        <v>205</v>
      </c>
    </row>
    <row r="7" ht="29" spans="1:10">
      <c r="A7" s="4" t="s">
        <v>206</v>
      </c>
      <c r="B7" s="4" t="s">
        <v>187</v>
      </c>
      <c r="C7" s="4" t="s">
        <v>188</v>
      </c>
      <c r="D7" s="7" t="s">
        <v>27</v>
      </c>
      <c r="E7" s="4" t="s">
        <v>207</v>
      </c>
      <c r="F7" s="4" t="s">
        <v>208</v>
      </c>
      <c r="G7" s="4" t="s">
        <v>209</v>
      </c>
      <c r="H7" s="4" t="s">
        <v>18</v>
      </c>
      <c r="I7" s="6" t="s">
        <v>18</v>
      </c>
      <c r="J7" s="4" t="s">
        <v>210</v>
      </c>
    </row>
    <row r="8" ht="16.5" spans="1:10">
      <c r="A8" s="2" t="s">
        <v>211</v>
      </c>
      <c r="B8" s="3"/>
      <c r="C8" s="3"/>
      <c r="D8" s="3"/>
      <c r="E8" s="3"/>
      <c r="F8" s="3"/>
      <c r="G8" s="3"/>
      <c r="H8" s="3"/>
      <c r="I8" s="3"/>
    </row>
    <row r="9" ht="43.5" spans="1:10">
      <c r="A9" s="4" t="s">
        <v>212</v>
      </c>
      <c r="B9" s="4" t="s">
        <v>211</v>
      </c>
      <c r="C9" s="4" t="s">
        <v>188</v>
      </c>
      <c r="D9" s="8" t="s">
        <v>13</v>
      </c>
      <c r="E9" s="4" t="s">
        <v>213</v>
      </c>
      <c r="F9" s="4" t="s">
        <v>214</v>
      </c>
      <c r="G9" s="4" t="s">
        <v>215</v>
      </c>
      <c r="H9" s="4" t="s">
        <v>18</v>
      </c>
      <c r="I9" s="6" t="s">
        <v>18</v>
      </c>
      <c r="J9" s="4" t="s">
        <v>192</v>
      </c>
    </row>
    <row r="10" ht="16.5" spans="1:10">
      <c r="A10" s="2" t="s">
        <v>216</v>
      </c>
      <c r="B10" s="3"/>
      <c r="C10" s="3"/>
      <c r="D10" s="3"/>
      <c r="E10" s="3"/>
      <c r="F10" s="3"/>
      <c r="G10" s="3"/>
      <c r="H10" s="3"/>
      <c r="I10" s="3"/>
    </row>
    <row r="11" ht="58" spans="1:10">
      <c r="A11" s="4" t="s">
        <v>217</v>
      </c>
      <c r="B11" s="4" t="s">
        <v>218</v>
      </c>
      <c r="C11" s="4" t="s">
        <v>188</v>
      </c>
      <c r="D11" s="8" t="s">
        <v>13</v>
      </c>
      <c r="E11" s="4" t="s">
        <v>213</v>
      </c>
      <c r="F11" s="4" t="s">
        <v>219</v>
      </c>
      <c r="G11" s="4" t="s">
        <v>220</v>
      </c>
      <c r="H11" s="4" t="s">
        <v>18</v>
      </c>
      <c r="I11" s="6" t="s">
        <v>18</v>
      </c>
      <c r="J11" s="4" t="s">
        <v>221</v>
      </c>
    </row>
    <row r="12" ht="43.5" spans="1:10">
      <c r="A12" s="4" t="s">
        <v>222</v>
      </c>
      <c r="B12" s="4" t="s">
        <v>223</v>
      </c>
      <c r="C12" s="4" t="s">
        <v>188</v>
      </c>
      <c r="D12" s="8" t="s">
        <v>13</v>
      </c>
      <c r="E12" s="4" t="s">
        <v>213</v>
      </c>
      <c r="F12" s="4" t="s">
        <v>224</v>
      </c>
      <c r="G12" s="4" t="s">
        <v>225</v>
      </c>
      <c r="H12" s="4" t="s">
        <v>18</v>
      </c>
      <c r="I12" s="6" t="s">
        <v>18</v>
      </c>
      <c r="J12" s="4" t="s">
        <v>18</v>
      </c>
    </row>
    <row r="13" ht="43.5" spans="1:10">
      <c r="A13" s="4" t="s">
        <v>226</v>
      </c>
      <c r="B13" s="4" t="s">
        <v>227</v>
      </c>
      <c r="C13" s="4" t="s">
        <v>188</v>
      </c>
      <c r="D13" s="8" t="s">
        <v>13</v>
      </c>
      <c r="E13" s="4" t="s">
        <v>213</v>
      </c>
      <c r="F13" s="4" t="s">
        <v>228</v>
      </c>
      <c r="G13" s="4" t="s">
        <v>229</v>
      </c>
      <c r="H13" s="4" t="s">
        <v>18</v>
      </c>
      <c r="I13" s="6" t="s">
        <v>18</v>
      </c>
      <c r="J13" s="4" t="s">
        <v>18</v>
      </c>
    </row>
  </sheetData>
  <autoFilter xmlns:etc="http://www.wps.cn/officeDocument/2017/etCustomData" ref="A1:I13" etc:filterBottomFollowUsedRange="0">
    <extLst/>
  </autoFilter>
  <mergeCells count="3">
    <mergeCell ref="A2:I2"/>
    <mergeCell ref="A8:I8"/>
    <mergeCell ref="A10:I10"/>
  </mergeCells>
  <dataValidations count="1">
    <dataValidation type="list" allowBlank="1" errorTitle="无效输入" error="请选择: 通过/失败/阻塞/跳过" promptTitle="测试结果" prompt="请选择测试结果" sqref="I2:I500">
      <formula1>"通过,失败,阻塞,跳过"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4"/>
  <cols>
    <col min="1" max="1" width="12" customWidth="1"/>
    <col min="2" max="2" width="13" customWidth="1"/>
    <col min="3" max="3" width="10" customWidth="1"/>
    <col min="4" max="4" width="8" customWidth="1"/>
    <col min="5" max="5" width="28" customWidth="1"/>
    <col min="6" max="6" width="55" customWidth="1"/>
    <col min="7" max="7" width="40" customWidth="1"/>
    <col min="8" max="8" width="20" customWidth="1"/>
    <col min="9" max="9" width="12" customWidth="1"/>
  </cols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10">
      <c r="A2" s="2" t="s">
        <v>230</v>
      </c>
      <c r="B2" s="3"/>
      <c r="C2" s="3"/>
      <c r="D2" s="3"/>
      <c r="E2" s="3"/>
      <c r="F2" s="3"/>
      <c r="G2" s="3"/>
      <c r="H2" s="3"/>
      <c r="I2" s="3"/>
    </row>
    <row r="3" ht="43.5" spans="1:10">
      <c r="A3" s="4" t="s">
        <v>231</v>
      </c>
      <c r="B3" s="4" t="s">
        <v>232</v>
      </c>
      <c r="C3" s="4" t="s">
        <v>233</v>
      </c>
      <c r="D3" s="8" t="s">
        <v>13</v>
      </c>
      <c r="E3" s="4" t="s">
        <v>234</v>
      </c>
      <c r="F3" s="4" t="s">
        <v>235</v>
      </c>
      <c r="G3" s="4" t="s">
        <v>236</v>
      </c>
      <c r="H3" s="4" t="s">
        <v>18</v>
      </c>
      <c r="I3" s="6" t="s">
        <v>18</v>
      </c>
      <c r="J3" s="4" t="s">
        <v>18</v>
      </c>
    </row>
    <row r="4" ht="29" spans="1:10">
      <c r="A4" s="4" t="s">
        <v>237</v>
      </c>
      <c r="B4" s="4" t="s">
        <v>232</v>
      </c>
      <c r="C4" s="4" t="s">
        <v>238</v>
      </c>
      <c r="D4" s="8" t="s">
        <v>13</v>
      </c>
      <c r="E4" s="4" t="s">
        <v>239</v>
      </c>
      <c r="F4" s="4" t="s">
        <v>240</v>
      </c>
      <c r="G4" s="4" t="s">
        <v>241</v>
      </c>
      <c r="H4" s="4" t="s">
        <v>18</v>
      </c>
      <c r="I4" s="6" t="s">
        <v>18</v>
      </c>
      <c r="J4" s="4" t="s">
        <v>242</v>
      </c>
    </row>
    <row r="5" ht="43.5" spans="1:10">
      <c r="A5" s="4" t="s">
        <v>243</v>
      </c>
      <c r="B5" s="4" t="s">
        <v>232</v>
      </c>
      <c r="C5" s="4" t="s">
        <v>238</v>
      </c>
      <c r="D5" s="7" t="s">
        <v>27</v>
      </c>
      <c r="E5" s="4" t="s">
        <v>244</v>
      </c>
      <c r="F5" s="4" t="s">
        <v>245</v>
      </c>
      <c r="G5" s="4" t="s">
        <v>246</v>
      </c>
      <c r="H5" s="4" t="s">
        <v>18</v>
      </c>
      <c r="I5" s="6" t="s">
        <v>18</v>
      </c>
      <c r="J5" s="4" t="s">
        <v>18</v>
      </c>
    </row>
  </sheetData>
  <autoFilter xmlns:etc="http://www.wps.cn/officeDocument/2017/etCustomData" ref="A1:I5" etc:filterBottomFollowUsedRange="0">
    <extLst/>
  </autoFilter>
  <mergeCells count="1">
    <mergeCell ref="A2:I2"/>
  </mergeCells>
  <dataValidations count="1">
    <dataValidation type="list" allowBlank="1" errorTitle="无效输入" error="请选择: 通过/失败/阻塞/跳过" promptTitle="测试结果" prompt="请选择测试结果" sqref="I2:I500">
      <formula1>"通过,失败,阻塞,跳过"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/>
  <cols>
    <col min="1" max="1" width="12" customWidth="1"/>
    <col min="2" max="2" width="13" customWidth="1"/>
    <col min="3" max="3" width="10" customWidth="1"/>
    <col min="4" max="4" width="8" customWidth="1"/>
    <col min="5" max="5" width="28" customWidth="1"/>
    <col min="6" max="6" width="55" customWidth="1"/>
    <col min="7" max="7" width="40" customWidth="1"/>
    <col min="8" max="8" width="20" customWidth="1"/>
    <col min="9" max="9" width="12" customWidth="1"/>
  </cols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10">
      <c r="A2" s="2" t="s">
        <v>247</v>
      </c>
      <c r="B2" s="3"/>
      <c r="C2" s="3"/>
      <c r="D2" s="3"/>
      <c r="E2" s="3"/>
      <c r="F2" s="3"/>
      <c r="G2" s="3"/>
      <c r="H2" s="3"/>
      <c r="I2" s="3"/>
    </row>
    <row r="3" ht="58" spans="1:10">
      <c r="A3" s="4" t="s">
        <v>248</v>
      </c>
      <c r="B3" s="4" t="s">
        <v>249</v>
      </c>
      <c r="C3" s="4" t="s">
        <v>250</v>
      </c>
      <c r="D3" s="8" t="s">
        <v>13</v>
      </c>
      <c r="E3" s="4" t="s">
        <v>251</v>
      </c>
      <c r="F3" s="4" t="s">
        <v>252</v>
      </c>
      <c r="G3" s="4" t="s">
        <v>253</v>
      </c>
      <c r="H3" s="4" t="s">
        <v>18</v>
      </c>
      <c r="I3" s="6" t="s">
        <v>18</v>
      </c>
      <c r="J3" s="4" t="s">
        <v>18</v>
      </c>
    </row>
    <row r="4" ht="58" spans="1:10">
      <c r="A4" s="4" t="s">
        <v>254</v>
      </c>
      <c r="B4" s="4" t="s">
        <v>249</v>
      </c>
      <c r="C4" s="4" t="s">
        <v>255</v>
      </c>
      <c r="D4" s="8" t="s">
        <v>13</v>
      </c>
      <c r="E4" s="4" t="s">
        <v>256</v>
      </c>
      <c r="F4" s="4" t="s">
        <v>257</v>
      </c>
      <c r="G4" s="4" t="s">
        <v>258</v>
      </c>
      <c r="H4" s="4" t="s">
        <v>18</v>
      </c>
      <c r="I4" s="6" t="s">
        <v>18</v>
      </c>
      <c r="J4" s="4" t="s">
        <v>18</v>
      </c>
    </row>
  </sheetData>
  <autoFilter xmlns:etc="http://www.wps.cn/officeDocument/2017/etCustomData" ref="A1:I4" etc:filterBottomFollowUsedRange="0">
    <extLst/>
  </autoFilter>
  <mergeCells count="1">
    <mergeCell ref="A2:I2"/>
  </mergeCells>
  <dataValidations count="1">
    <dataValidation type="list" allowBlank="1" errorTitle="无效输入" error="请选择: 通过/失败/阻塞/跳过" promptTitle="测试结果" prompt="请选择测试结果" sqref="I2:I500">
      <formula1>"通过,失败,阻塞,跳过"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4"/>
  <cols>
    <col min="1" max="1" width="12" customWidth="1"/>
    <col min="2" max="2" width="13" customWidth="1"/>
    <col min="3" max="3" width="10" customWidth="1"/>
    <col min="4" max="4" width="8" customWidth="1"/>
    <col min="5" max="5" width="28" customWidth="1"/>
    <col min="6" max="6" width="55" customWidth="1"/>
    <col min="7" max="7" width="40" customWidth="1"/>
    <col min="8" max="8" width="20" customWidth="1"/>
    <col min="9" max="9" width="12" customWidth="1"/>
  </cols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10">
      <c r="A2" s="2" t="s">
        <v>259</v>
      </c>
      <c r="B2" s="3"/>
      <c r="C2" s="3"/>
      <c r="D2" s="3"/>
      <c r="E2" s="3"/>
      <c r="F2" s="3"/>
      <c r="G2" s="3"/>
      <c r="H2" s="3"/>
      <c r="I2" s="3"/>
    </row>
    <row r="3" ht="43.5" spans="1:10">
      <c r="A3" s="4" t="s">
        <v>260</v>
      </c>
      <c r="B3" s="4" t="s">
        <v>261</v>
      </c>
      <c r="C3" s="4" t="s">
        <v>262</v>
      </c>
      <c r="D3" s="8" t="s">
        <v>13</v>
      </c>
      <c r="E3" s="4" t="s">
        <v>263</v>
      </c>
      <c r="F3" s="4" t="s">
        <v>264</v>
      </c>
      <c r="G3" s="4" t="s">
        <v>265</v>
      </c>
      <c r="H3" s="4" t="s">
        <v>18</v>
      </c>
      <c r="I3" s="6" t="s">
        <v>18</v>
      </c>
      <c r="J3" s="4" t="s">
        <v>18</v>
      </c>
    </row>
    <row r="4" ht="43.5" spans="1:10">
      <c r="A4" s="4" t="s">
        <v>266</v>
      </c>
      <c r="B4" s="4" t="s">
        <v>267</v>
      </c>
      <c r="C4" s="4" t="s">
        <v>268</v>
      </c>
      <c r="D4" s="8" t="s">
        <v>13</v>
      </c>
      <c r="E4" s="4" t="s">
        <v>269</v>
      </c>
      <c r="F4" s="4" t="s">
        <v>270</v>
      </c>
      <c r="G4" s="4" t="s">
        <v>271</v>
      </c>
      <c r="H4" s="4" t="s">
        <v>18</v>
      </c>
      <c r="I4" s="6" t="s">
        <v>18</v>
      </c>
      <c r="J4" s="4" t="s">
        <v>18</v>
      </c>
    </row>
    <row r="5" ht="58" spans="1:10">
      <c r="A5" s="4" t="s">
        <v>272</v>
      </c>
      <c r="B5" s="4" t="s">
        <v>273</v>
      </c>
      <c r="C5" s="4" t="s">
        <v>274</v>
      </c>
      <c r="D5" s="7" t="s">
        <v>27</v>
      </c>
      <c r="E5" s="4" t="s">
        <v>275</v>
      </c>
      <c r="F5" s="4" t="s">
        <v>276</v>
      </c>
      <c r="G5" s="4" t="s">
        <v>277</v>
      </c>
      <c r="H5" s="4" t="s">
        <v>18</v>
      </c>
      <c r="I5" s="6" t="s">
        <v>18</v>
      </c>
      <c r="J5" s="4" t="s">
        <v>18</v>
      </c>
    </row>
  </sheetData>
  <autoFilter xmlns:etc="http://www.wps.cn/officeDocument/2017/etCustomData" ref="A1:I5" etc:filterBottomFollowUsedRange="0">
    <extLst/>
  </autoFilter>
  <mergeCells count="1">
    <mergeCell ref="A2:I2"/>
  </mergeCells>
  <dataValidations count="1">
    <dataValidation type="list" allowBlank="1" errorTitle="无效输入" error="请选择: 通过/失败/阻塞/跳过" promptTitle="测试结果" prompt="请选择测试结果" sqref="I2:I500">
      <formula1>"通过,失败,阻塞,跳过"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2" customWidth="1"/>
    <col min="2" max="2" width="13" customWidth="1"/>
    <col min="3" max="3" width="10" customWidth="1"/>
    <col min="4" max="4" width="8" customWidth="1"/>
    <col min="5" max="5" width="28" customWidth="1"/>
    <col min="6" max="6" width="55" customWidth="1"/>
    <col min="7" max="7" width="40" customWidth="1"/>
    <col min="8" max="8" width="20" customWidth="1"/>
    <col min="9" max="9" width="12" customWidth="1"/>
  </cols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10">
      <c r="A2" s="2" t="s">
        <v>278</v>
      </c>
      <c r="B2" s="3"/>
      <c r="C2" s="3"/>
      <c r="D2" s="3"/>
      <c r="E2" s="3"/>
      <c r="F2" s="3"/>
      <c r="G2" s="3"/>
      <c r="H2" s="3"/>
      <c r="I2" s="3"/>
    </row>
    <row r="3" ht="43.5" spans="1:10">
      <c r="A3" s="4" t="s">
        <v>279</v>
      </c>
      <c r="B3" s="4" t="s">
        <v>280</v>
      </c>
      <c r="C3" s="4" t="s">
        <v>281</v>
      </c>
      <c r="D3" s="8" t="s">
        <v>13</v>
      </c>
      <c r="E3" s="4" t="s">
        <v>282</v>
      </c>
      <c r="F3" s="4" t="s">
        <v>283</v>
      </c>
      <c r="G3" s="4" t="s">
        <v>284</v>
      </c>
      <c r="H3" s="4" t="s">
        <v>18</v>
      </c>
      <c r="I3" s="6" t="s">
        <v>18</v>
      </c>
      <c r="J3" s="4" t="s">
        <v>18</v>
      </c>
    </row>
    <row r="4" ht="16.5" spans="1:10">
      <c r="A4" s="2" t="s">
        <v>285</v>
      </c>
      <c r="B4" s="3"/>
      <c r="C4" s="3"/>
      <c r="D4" s="3"/>
      <c r="E4" s="3"/>
      <c r="F4" s="3"/>
      <c r="G4" s="3"/>
      <c r="H4" s="3"/>
      <c r="I4" s="3"/>
    </row>
    <row r="5" ht="29" spans="1:10">
      <c r="A5" s="4" t="s">
        <v>286</v>
      </c>
      <c r="B5" s="4" t="s">
        <v>280</v>
      </c>
      <c r="C5" s="4" t="s">
        <v>281</v>
      </c>
      <c r="D5" s="8" t="s">
        <v>13</v>
      </c>
      <c r="E5" s="4" t="s">
        <v>287</v>
      </c>
      <c r="F5" s="4" t="s">
        <v>283</v>
      </c>
      <c r="G5" s="4" t="s">
        <v>288</v>
      </c>
      <c r="H5" s="4" t="s">
        <v>18</v>
      </c>
      <c r="I5" s="6" t="s">
        <v>18</v>
      </c>
      <c r="J5" s="4" t="s">
        <v>18</v>
      </c>
    </row>
    <row r="6" ht="29" spans="1:10">
      <c r="A6" s="4" t="s">
        <v>289</v>
      </c>
      <c r="B6" s="4" t="s">
        <v>280</v>
      </c>
      <c r="C6" s="4" t="s">
        <v>281</v>
      </c>
      <c r="D6" s="8" t="s">
        <v>13</v>
      </c>
      <c r="E6" s="4" t="s">
        <v>290</v>
      </c>
      <c r="F6" s="4" t="s">
        <v>291</v>
      </c>
      <c r="G6" s="4" t="s">
        <v>292</v>
      </c>
      <c r="H6" s="4" t="s">
        <v>18</v>
      </c>
      <c r="I6" s="6" t="s">
        <v>18</v>
      </c>
      <c r="J6" s="4" t="s">
        <v>18</v>
      </c>
    </row>
    <row r="7" ht="29" spans="1:10">
      <c r="A7" s="4" t="s">
        <v>293</v>
      </c>
      <c r="B7" s="4" t="s">
        <v>280</v>
      </c>
      <c r="C7" s="4" t="s">
        <v>281</v>
      </c>
      <c r="D7" s="8" t="s">
        <v>13</v>
      </c>
      <c r="E7" s="4" t="s">
        <v>290</v>
      </c>
      <c r="F7" s="4" t="s">
        <v>294</v>
      </c>
      <c r="G7" s="4" t="s">
        <v>295</v>
      </c>
      <c r="H7" s="4" t="s">
        <v>18</v>
      </c>
      <c r="I7" s="6" t="s">
        <v>18</v>
      </c>
      <c r="J7" s="4" t="s">
        <v>18</v>
      </c>
    </row>
    <row r="8" ht="16.5" spans="1:10">
      <c r="A8" s="2" t="s">
        <v>296</v>
      </c>
      <c r="B8" s="3"/>
      <c r="C8" s="3"/>
      <c r="D8" s="3"/>
      <c r="E8" s="3"/>
      <c r="F8" s="3"/>
      <c r="G8" s="3"/>
      <c r="H8" s="3"/>
      <c r="I8" s="3"/>
    </row>
    <row r="9" ht="29" spans="1:10">
      <c r="A9" s="4" t="s">
        <v>297</v>
      </c>
      <c r="B9" s="4" t="s">
        <v>298</v>
      </c>
      <c r="C9" s="4" t="s">
        <v>299</v>
      </c>
      <c r="D9" s="8" t="s">
        <v>13</v>
      </c>
      <c r="E9" s="4" t="s">
        <v>300</v>
      </c>
      <c r="F9" s="4" t="s">
        <v>301</v>
      </c>
      <c r="G9" s="4" t="s">
        <v>302</v>
      </c>
      <c r="H9" s="4" t="s">
        <v>18</v>
      </c>
      <c r="I9" s="6" t="s">
        <v>18</v>
      </c>
      <c r="J9" s="4" t="s">
        <v>18</v>
      </c>
    </row>
    <row r="10" ht="29" spans="1:10">
      <c r="A10" s="4" t="s">
        <v>303</v>
      </c>
      <c r="B10" s="4" t="s">
        <v>298</v>
      </c>
      <c r="C10" s="4" t="s">
        <v>299</v>
      </c>
      <c r="D10" s="7" t="s">
        <v>27</v>
      </c>
      <c r="E10" s="4" t="s">
        <v>304</v>
      </c>
      <c r="F10" s="4" t="s">
        <v>305</v>
      </c>
      <c r="G10" s="4" t="s">
        <v>306</v>
      </c>
      <c r="H10" s="4" t="s">
        <v>18</v>
      </c>
      <c r="I10" s="6" t="s">
        <v>18</v>
      </c>
      <c r="J10" s="4" t="s">
        <v>18</v>
      </c>
    </row>
  </sheetData>
  <autoFilter xmlns:etc="http://www.wps.cn/officeDocument/2017/etCustomData" ref="A1:I10" etc:filterBottomFollowUsedRange="0">
    <extLst/>
  </autoFilter>
  <mergeCells count="3">
    <mergeCell ref="A2:I2"/>
    <mergeCell ref="A4:I4"/>
    <mergeCell ref="A8:I8"/>
  </mergeCells>
  <dataValidations count="1">
    <dataValidation type="list" allowBlank="1" errorTitle="无效输入" error="请选择: 通过/失败/阻塞/跳过" promptTitle="测试结果" prompt="请选择测试结果" sqref="I2:I500">
      <formula1>"通过,失败,阻塞,跳过"</formula1>
    </dataValidation>
  </dataValidation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4"/>
  <cols>
    <col min="1" max="1" width="12" customWidth="1"/>
    <col min="2" max="2" width="13" customWidth="1"/>
    <col min="3" max="3" width="10" customWidth="1"/>
    <col min="4" max="4" width="8" customWidth="1"/>
    <col min="5" max="5" width="28" customWidth="1"/>
    <col min="6" max="6" width="55" customWidth="1"/>
    <col min="7" max="7" width="40" customWidth="1"/>
    <col min="8" max="8" width="20" customWidth="1"/>
    <col min="9" max="9" width="12" customWidth="1"/>
  </cols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10">
      <c r="A2" s="2" t="s">
        <v>307</v>
      </c>
      <c r="B2" s="3"/>
      <c r="C2" s="3"/>
      <c r="D2" s="3"/>
      <c r="E2" s="3"/>
      <c r="F2" s="3"/>
      <c r="G2" s="3"/>
      <c r="H2" s="3"/>
      <c r="I2" s="3"/>
    </row>
    <row r="3" ht="72.5" spans="1:10">
      <c r="A3" s="4" t="s">
        <v>308</v>
      </c>
      <c r="B3" s="4" t="s">
        <v>309</v>
      </c>
      <c r="C3" s="4" t="s">
        <v>310</v>
      </c>
      <c r="D3" s="8" t="s">
        <v>13</v>
      </c>
      <c r="E3" s="4" t="s">
        <v>311</v>
      </c>
      <c r="F3" s="4" t="s">
        <v>312</v>
      </c>
      <c r="G3" s="4" t="s">
        <v>313</v>
      </c>
      <c r="H3" s="4" t="s">
        <v>18</v>
      </c>
      <c r="I3" s="6" t="s">
        <v>18</v>
      </c>
      <c r="J3" s="4" t="s">
        <v>314</v>
      </c>
    </row>
    <row r="4" ht="87" spans="1:10">
      <c r="A4" s="4" t="s">
        <v>315</v>
      </c>
      <c r="B4" s="4" t="s">
        <v>309</v>
      </c>
      <c r="C4" s="4" t="s">
        <v>310</v>
      </c>
      <c r="D4" s="8" t="s">
        <v>13</v>
      </c>
      <c r="E4" s="4" t="s">
        <v>316</v>
      </c>
      <c r="F4" s="4" t="s">
        <v>317</v>
      </c>
      <c r="G4" s="4" t="s">
        <v>318</v>
      </c>
      <c r="H4" s="4" t="s">
        <v>18</v>
      </c>
      <c r="I4" s="6" t="s">
        <v>18</v>
      </c>
      <c r="J4" s="4" t="s">
        <v>319</v>
      </c>
    </row>
    <row r="5" ht="72.5" spans="1:10">
      <c r="A5" s="4" t="s">
        <v>320</v>
      </c>
      <c r="B5" s="4" t="s">
        <v>309</v>
      </c>
      <c r="C5" s="4" t="s">
        <v>310</v>
      </c>
      <c r="D5" s="8" t="s">
        <v>13</v>
      </c>
      <c r="E5" s="4" t="s">
        <v>321</v>
      </c>
      <c r="F5" s="4" t="s">
        <v>322</v>
      </c>
      <c r="G5" s="4" t="s">
        <v>323</v>
      </c>
      <c r="H5" s="4" t="s">
        <v>18</v>
      </c>
      <c r="I5" s="6" t="s">
        <v>18</v>
      </c>
      <c r="J5" s="4" t="s">
        <v>324</v>
      </c>
    </row>
  </sheetData>
  <autoFilter xmlns:etc="http://www.wps.cn/officeDocument/2017/etCustomData" ref="A1:I5" etc:filterBottomFollowUsedRange="0">
    <extLst/>
  </autoFilter>
  <mergeCells count="1">
    <mergeCell ref="A2:I2"/>
  </mergeCells>
  <dataValidations count="1">
    <dataValidation type="list" allowBlank="1" errorTitle="无效输入" error="请选择: 通过/失败/阻塞/跳过" promptTitle="测试结果" prompt="请选择测试结果" sqref="I2:I500">
      <formula1>"通过,失败,阻塞,跳过"</formula1>
    </dataValidation>
  </dataValidation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4"/>
  <cols>
    <col min="1" max="1" width="12" customWidth="1"/>
    <col min="2" max="2" width="13" customWidth="1"/>
    <col min="3" max="3" width="10" customWidth="1"/>
    <col min="4" max="4" width="8" customWidth="1"/>
    <col min="5" max="5" width="28" customWidth="1"/>
    <col min="6" max="6" width="55" customWidth="1"/>
    <col min="7" max="7" width="40" customWidth="1"/>
    <col min="8" max="8" width="20" customWidth="1"/>
    <col min="9" max="9" width="12" customWidth="1"/>
  </cols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10">
      <c r="A2" s="2" t="s">
        <v>325</v>
      </c>
      <c r="B2" s="3"/>
      <c r="C2" s="3"/>
      <c r="D2" s="3"/>
      <c r="E2" s="3"/>
      <c r="F2" s="3"/>
      <c r="G2" s="3"/>
      <c r="H2" s="3"/>
      <c r="I2" s="3"/>
    </row>
    <row r="3" ht="29" spans="1:10">
      <c r="A3" s="4" t="s">
        <v>326</v>
      </c>
      <c r="B3" s="4" t="s">
        <v>327</v>
      </c>
      <c r="C3" s="4" t="s">
        <v>328</v>
      </c>
      <c r="D3" s="5" t="s">
        <v>329</v>
      </c>
      <c r="E3" s="4" t="s">
        <v>91</v>
      </c>
      <c r="F3" s="4" t="s">
        <v>330</v>
      </c>
      <c r="G3" s="4" t="s">
        <v>331</v>
      </c>
      <c r="H3" s="4" t="s">
        <v>18</v>
      </c>
      <c r="I3" s="6" t="s">
        <v>18</v>
      </c>
      <c r="J3" s="4" t="s">
        <v>18</v>
      </c>
    </row>
    <row r="4" ht="29" spans="1:10">
      <c r="A4" s="4" t="s">
        <v>332</v>
      </c>
      <c r="B4" s="4" t="s">
        <v>333</v>
      </c>
      <c r="C4" s="4" t="s">
        <v>334</v>
      </c>
      <c r="D4" s="7" t="s">
        <v>27</v>
      </c>
      <c r="E4" s="4" t="s">
        <v>335</v>
      </c>
      <c r="F4" s="4" t="s">
        <v>336</v>
      </c>
      <c r="G4" s="4" t="s">
        <v>337</v>
      </c>
      <c r="H4" s="4" t="s">
        <v>18</v>
      </c>
      <c r="I4" s="6" t="s">
        <v>18</v>
      </c>
      <c r="J4" s="4" t="s">
        <v>18</v>
      </c>
    </row>
    <row r="5" ht="43.5" spans="1:10">
      <c r="A5" s="4" t="s">
        <v>338</v>
      </c>
      <c r="B5" s="4" t="s">
        <v>339</v>
      </c>
      <c r="C5" s="4" t="s">
        <v>340</v>
      </c>
      <c r="D5" s="5" t="s">
        <v>329</v>
      </c>
      <c r="E5" s="4" t="s">
        <v>341</v>
      </c>
      <c r="F5" s="4" t="s">
        <v>342</v>
      </c>
      <c r="G5" s="4" t="s">
        <v>343</v>
      </c>
      <c r="H5" s="4" t="s">
        <v>18</v>
      </c>
      <c r="I5" s="6" t="s">
        <v>18</v>
      </c>
      <c r="J5" s="4" t="s">
        <v>18</v>
      </c>
    </row>
  </sheetData>
  <autoFilter xmlns:etc="http://www.wps.cn/officeDocument/2017/etCustomData" ref="A1:I5" etc:filterBottomFollowUsedRange="0">
    <extLst/>
  </autoFilter>
  <mergeCells count="1">
    <mergeCell ref="A2:I2"/>
  </mergeCells>
  <dataValidations count="1">
    <dataValidation type="list" allowBlank="1" errorTitle="无效输入" error="请选择: 通过/失败/阻塞/跳过" promptTitle="测试结果" prompt="请选择测试结果" sqref="I2:I500">
      <formula1>"通过,失败,阻塞,跳过"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1-登录注册</vt:lpstr>
      <vt:lpstr>2-用户管理</vt:lpstr>
      <vt:lpstr>3-租户管理</vt:lpstr>
      <vt:lpstr>4-配置管理</vt:lpstr>
      <vt:lpstr>5-模板管理</vt:lpstr>
      <vt:lpstr>6-合同管理</vt:lpstr>
      <vt:lpstr>7-货物管理</vt:lpstr>
      <vt:lpstr>8-订单管理</vt:lpstr>
      <vt:lpstr>9-进口台账</vt:lpstr>
      <vt:lpstr>10-报关单管理</vt:lpstr>
      <vt:lpstr>11-文件管理</vt:lpstr>
      <vt:lpstr>12-供应商客户</vt:lpstr>
      <vt:lpstr>13-权限测试</vt:lpstr>
      <vt:lpstr>14-业务流程</vt:lpstr>
      <vt:lpstr>15-其他测试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掉落的烟灰、</cp:lastModifiedBy>
  <dcterms:created xsi:type="dcterms:W3CDTF">2026-04-23T02:02:00Z</dcterms:created>
  <dcterms:modified xsi:type="dcterms:W3CDTF">2026-04-24T02:40:02Z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149AE0DF8DC74607A8E29052A6CFE359_12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